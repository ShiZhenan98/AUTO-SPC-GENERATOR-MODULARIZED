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\\192.168.1.226\质量\质控部\2023\12-其它\新建文件夹\SPC计划\"/>
    </mc:Choice>
  </mc:AlternateContent>
  <xr:revisionPtr revIDLastSave="0" documentId="13_ncr:1_{0A140864-A9FC-489F-80A7-A8C4A4A6499E}" xr6:coauthVersionLast="47" xr6:coauthVersionMax="47" xr10:uidLastSave="{00000000-0000-0000-0000-000000000000}"/>
  <bookViews>
    <workbookView xWindow="-98" yWindow="-98" windowWidth="21795" windowHeight="12975" tabRatio="624" xr2:uid="{00000000-000D-0000-FFFF-FFFF00000000}"/>
  </bookViews>
  <sheets>
    <sheet name="sheet1" sheetId="74" r:id="rId1"/>
  </sheets>
  <definedNames>
    <definedName name="_xlnm.Print_Area" localSheetId="0">sheet1!$A$1:$AA$38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4" l="1"/>
  <c r="Y29" i="74"/>
  <c r="X29" i="74"/>
  <c r="P17" i="74"/>
  <c r="H37" i="74"/>
  <c r="C40" i="74"/>
  <c r="D40" i="74" s="1"/>
  <c r="E40" i="74" s="1"/>
  <c r="F40" i="74" s="1"/>
  <c r="G40" i="74" s="1"/>
  <c r="H40" i="74" s="1"/>
  <c r="I40" i="74" s="1"/>
  <c r="J40" i="74" s="1"/>
  <c r="K40" i="74" s="1"/>
  <c r="L40" i="74" s="1"/>
  <c r="M40" i="74" s="1"/>
  <c r="N40" i="74" s="1"/>
  <c r="O40" i="74" s="1"/>
  <c r="P40" i="74" s="1"/>
  <c r="Q40" i="74" s="1"/>
  <c r="R40" i="74" s="1"/>
  <c r="S40" i="74" s="1"/>
  <c r="T40" i="74" s="1"/>
  <c r="U40" i="74" s="1"/>
  <c r="V40" i="74" s="1"/>
  <c r="W40" i="74" s="1"/>
  <c r="X40" i="74" s="1"/>
  <c r="Y40" i="74" s="1"/>
  <c r="Z40" i="74" s="1"/>
  <c r="AA40" i="74" s="1"/>
  <c r="Y38" i="74"/>
  <c r="U38" i="74"/>
  <c r="Q38" i="74"/>
  <c r="M38" i="74"/>
  <c r="I38" i="74"/>
  <c r="E38" i="74"/>
  <c r="Z38" i="74"/>
  <c r="V38" i="74"/>
  <c r="R38" i="74"/>
  <c r="N38" i="74"/>
  <c r="J38" i="74"/>
  <c r="F38" i="74"/>
  <c r="AA38" i="74"/>
  <c r="W38" i="74"/>
  <c r="S38" i="74"/>
  <c r="O38" i="74"/>
  <c r="K38" i="74"/>
  <c r="G38" i="74"/>
  <c r="C38" i="74"/>
  <c r="X37" i="74"/>
  <c r="T37" i="74"/>
  <c r="P37" i="74"/>
  <c r="L37" i="74"/>
  <c r="D37" i="74"/>
  <c r="X38" i="74"/>
  <c r="T38" i="74"/>
  <c r="P38" i="74"/>
  <c r="L38" i="74"/>
  <c r="H38" i="74"/>
  <c r="D38" i="74"/>
  <c r="E17" i="74" s="1"/>
  <c r="Y37" i="74"/>
  <c r="U37" i="74"/>
  <c r="Q37" i="74"/>
  <c r="M37" i="74"/>
  <c r="I37" i="74"/>
  <c r="E37" i="74"/>
  <c r="E4" i="74"/>
  <c r="L4" i="74" s="1"/>
  <c r="C46" i="74" s="1"/>
  <c r="D46" i="74" s="1"/>
  <c r="E46" i="74" s="1"/>
  <c r="F46" i="74" s="1"/>
  <c r="G46" i="74" s="1"/>
  <c r="H46" i="74" s="1"/>
  <c r="I46" i="74" s="1"/>
  <c r="J46" i="74" s="1"/>
  <c r="K46" i="74" s="1"/>
  <c r="L46" i="74" s="1"/>
  <c r="M46" i="74" s="1"/>
  <c r="N46" i="74" s="1"/>
  <c r="O46" i="74" s="1"/>
  <c r="P46" i="74" s="1"/>
  <c r="Q46" i="74" s="1"/>
  <c r="R46" i="74" s="1"/>
  <c r="S46" i="74" s="1"/>
  <c r="T46" i="74" s="1"/>
  <c r="U46" i="74" s="1"/>
  <c r="V46" i="74" s="1"/>
  <c r="W46" i="74" s="1"/>
  <c r="X46" i="74" s="1"/>
  <c r="Y46" i="74" s="1"/>
  <c r="Z46" i="74" s="1"/>
  <c r="AA46" i="74" s="1"/>
  <c r="F37" i="74"/>
  <c r="J37" i="74"/>
  <c r="N37" i="74"/>
  <c r="R37" i="74"/>
  <c r="V37" i="74"/>
  <c r="Z37" i="74"/>
  <c r="C37" i="74"/>
  <c r="G37" i="74"/>
  <c r="K37" i="74"/>
  <c r="O37" i="74"/>
  <c r="S37" i="74"/>
  <c r="W37" i="74"/>
  <c r="AA37" i="74"/>
  <c r="J4" i="74"/>
  <c r="C43" i="74" s="1"/>
  <c r="D43" i="74" s="1"/>
  <c r="E43" i="74" s="1"/>
  <c r="F43" i="74" s="1"/>
  <c r="G43" i="74" s="1"/>
  <c r="H43" i="74" s="1"/>
  <c r="I43" i="74" s="1"/>
  <c r="J43" i="74" s="1"/>
  <c r="K43" i="74" s="1"/>
  <c r="L43" i="74" s="1"/>
  <c r="M43" i="74" s="1"/>
  <c r="N43" i="74" s="1"/>
  <c r="O43" i="74" s="1"/>
  <c r="P43" i="74" s="1"/>
  <c r="Q43" i="74" s="1"/>
  <c r="R43" i="74" s="1"/>
  <c r="S43" i="74" s="1"/>
  <c r="T43" i="74" s="1"/>
  <c r="U43" i="74" s="1"/>
  <c r="V43" i="74" s="1"/>
  <c r="W43" i="74" s="1"/>
  <c r="X43" i="74" s="1"/>
  <c r="Y43" i="74" s="1"/>
  <c r="Z43" i="74" s="1"/>
  <c r="AA43" i="74" s="1"/>
  <c r="N4" i="74"/>
  <c r="C41" i="74" s="1"/>
  <c r="D41" i="74" s="1"/>
  <c r="E41" i="74" s="1"/>
  <c r="F41" i="74" s="1"/>
  <c r="G41" i="74" s="1"/>
  <c r="H41" i="74" s="1"/>
  <c r="I41" i="74" s="1"/>
  <c r="J41" i="74" s="1"/>
  <c r="K41" i="74" s="1"/>
  <c r="L41" i="74" s="1"/>
  <c r="M41" i="74" s="1"/>
  <c r="N41" i="74" s="1"/>
  <c r="O41" i="74" s="1"/>
  <c r="P41" i="74" s="1"/>
  <c r="Q41" i="74" s="1"/>
  <c r="R41" i="74" s="1"/>
  <c r="S41" i="74" s="1"/>
  <c r="T41" i="74" s="1"/>
  <c r="U41" i="74" s="1"/>
  <c r="V41" i="74" s="1"/>
  <c r="W41" i="74" s="1"/>
  <c r="X41" i="74" s="1"/>
  <c r="Y41" i="74" s="1"/>
  <c r="Z41" i="74" s="1"/>
  <c r="AA41" i="74" s="1"/>
  <c r="R4" i="74"/>
  <c r="C44" i="74" s="1"/>
  <c r="D44" i="74" s="1"/>
  <c r="E44" i="74" s="1"/>
  <c r="F44" i="74" s="1"/>
  <c r="G44" i="74" s="1"/>
  <c r="H44" i="74" s="1"/>
  <c r="I44" i="74" s="1"/>
  <c r="J44" i="74" s="1"/>
  <c r="K44" i="74" s="1"/>
  <c r="L44" i="74" s="1"/>
  <c r="M44" i="74" s="1"/>
  <c r="N44" i="74" s="1"/>
  <c r="O44" i="74" s="1"/>
  <c r="P44" i="74" s="1"/>
  <c r="Q44" i="74" s="1"/>
  <c r="R44" i="74" s="1"/>
  <c r="S44" i="74" s="1"/>
  <c r="T44" i="74" s="1"/>
  <c r="U44" i="74" s="1"/>
  <c r="V44" i="74" s="1"/>
  <c r="W44" i="74" s="1"/>
  <c r="X44" i="74" s="1"/>
  <c r="Y44" i="74" s="1"/>
  <c r="Z44" i="74" s="1"/>
  <c r="AA44" i="74" s="1"/>
  <c r="T4" i="74" l="1"/>
  <c r="C45" i="74" s="1"/>
  <c r="D45" i="74" s="1"/>
  <c r="E45" i="74" s="1"/>
  <c r="F45" i="74" s="1"/>
  <c r="G45" i="74" s="1"/>
  <c r="H45" i="74" s="1"/>
  <c r="I45" i="74" s="1"/>
  <c r="J45" i="74" s="1"/>
  <c r="K45" i="74" s="1"/>
  <c r="L45" i="74" s="1"/>
  <c r="M45" i="74" s="1"/>
  <c r="N45" i="74" s="1"/>
  <c r="O45" i="74" s="1"/>
  <c r="P45" i="74" s="1"/>
  <c r="Q45" i="74" s="1"/>
  <c r="R45" i="74" s="1"/>
  <c r="S45" i="74" s="1"/>
  <c r="T45" i="74" s="1"/>
  <c r="U45" i="74" s="1"/>
  <c r="V45" i="74" s="1"/>
  <c r="W45" i="74" s="1"/>
  <c r="X45" i="74" s="1"/>
  <c r="Y45" i="74" s="1"/>
  <c r="Z45" i="74" s="1"/>
  <c r="AA45" i="74" s="1"/>
  <c r="AA29" i="74"/>
  <c r="E50" i="74" s="1"/>
  <c r="U17" i="74"/>
  <c r="C49" i="74" s="1"/>
  <c r="D49" i="74" s="1"/>
  <c r="E49" i="74" s="1"/>
  <c r="F49" i="74" s="1"/>
  <c r="G49" i="74" s="1"/>
  <c r="H49" i="74" s="1"/>
  <c r="I49" i="74" s="1"/>
  <c r="J49" i="74" s="1"/>
  <c r="K49" i="74" s="1"/>
  <c r="L49" i="74" s="1"/>
  <c r="M49" i="74" s="1"/>
  <c r="N49" i="74" s="1"/>
  <c r="O49" i="74" s="1"/>
  <c r="P49" i="74" s="1"/>
  <c r="Q49" i="74" s="1"/>
  <c r="R49" i="74" s="1"/>
  <c r="S49" i="74" s="1"/>
  <c r="T49" i="74" s="1"/>
  <c r="U49" i="74" s="1"/>
  <c r="V49" i="74" s="1"/>
  <c r="W49" i="74" s="1"/>
  <c r="X49" i="74" s="1"/>
  <c r="Y49" i="74" s="1"/>
  <c r="Z49" i="74" s="1"/>
  <c r="AA49" i="74" s="1"/>
  <c r="C47" i="74"/>
  <c r="D47" i="74" s="1"/>
  <c r="E47" i="74" s="1"/>
  <c r="F47" i="74" s="1"/>
  <c r="G47" i="74" s="1"/>
  <c r="H47" i="74" s="1"/>
  <c r="I47" i="74" s="1"/>
  <c r="J47" i="74" s="1"/>
  <c r="K47" i="74" s="1"/>
  <c r="L47" i="74" s="1"/>
  <c r="M47" i="74" s="1"/>
  <c r="N47" i="74" s="1"/>
  <c r="O47" i="74" s="1"/>
  <c r="P47" i="74" s="1"/>
  <c r="Q47" i="74" s="1"/>
  <c r="R47" i="74" s="1"/>
  <c r="S47" i="74" s="1"/>
  <c r="T47" i="74" s="1"/>
  <c r="U47" i="74" s="1"/>
  <c r="V47" i="74" s="1"/>
  <c r="W47" i="74" s="1"/>
  <c r="X47" i="74" s="1"/>
  <c r="Y47" i="74" s="1"/>
  <c r="Z47" i="74" s="1"/>
  <c r="AA47" i="74" s="1"/>
  <c r="L17" i="74"/>
  <c r="C48" i="74" s="1"/>
  <c r="D48" i="74" s="1"/>
  <c r="E48" i="74" s="1"/>
  <c r="F48" i="74" s="1"/>
  <c r="G48" i="74" s="1"/>
  <c r="H48" i="74" s="1"/>
  <c r="I48" i="74" s="1"/>
  <c r="J48" i="74" s="1"/>
  <c r="K48" i="74" s="1"/>
  <c r="L48" i="74" s="1"/>
  <c r="M48" i="74" s="1"/>
  <c r="N48" i="74" s="1"/>
  <c r="O48" i="74" s="1"/>
  <c r="P48" i="74" s="1"/>
  <c r="Q48" i="74" s="1"/>
  <c r="R48" i="74" s="1"/>
  <c r="S48" i="74" s="1"/>
  <c r="T48" i="74" s="1"/>
  <c r="U48" i="74" s="1"/>
  <c r="V48" i="74" s="1"/>
  <c r="W48" i="74" s="1"/>
  <c r="X48" i="74" s="1"/>
  <c r="Y48" i="74" s="1"/>
  <c r="Z48" i="74" s="1"/>
  <c r="AA48" i="74" s="1"/>
  <c r="P4" i="74"/>
  <c r="C42" i="74" s="1"/>
  <c r="D42" i="74" s="1"/>
  <c r="E42" i="74" s="1"/>
  <c r="F42" i="74" s="1"/>
  <c r="G42" i="74" s="1"/>
  <c r="H42" i="74" s="1"/>
  <c r="I42" i="74" s="1"/>
  <c r="J42" i="74" s="1"/>
  <c r="K42" i="74" s="1"/>
  <c r="L42" i="74" s="1"/>
  <c r="M42" i="74" s="1"/>
  <c r="N42" i="74" s="1"/>
  <c r="O42" i="74" s="1"/>
  <c r="P42" i="74" s="1"/>
  <c r="Q42" i="74" s="1"/>
  <c r="R42" i="74" s="1"/>
  <c r="S42" i="74" s="1"/>
  <c r="T42" i="74" s="1"/>
  <c r="U42" i="74" s="1"/>
  <c r="V42" i="74" s="1"/>
  <c r="W42" i="74" s="1"/>
  <c r="X42" i="74" s="1"/>
  <c r="Y42" i="74" s="1"/>
  <c r="Z42" i="74" s="1"/>
  <c r="AA42" i="7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曾金龙</author>
  </authors>
  <commentList>
    <comment ref="M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曾金龙:</t>
        </r>
        <r>
          <rPr>
            <sz val="9"/>
            <color indexed="81"/>
            <rFont val="宋体"/>
            <family val="3"/>
            <charset val="134"/>
          </rPr>
          <t xml:space="preserve">
单位：1mm</t>
        </r>
      </text>
    </comment>
  </commentList>
</comments>
</file>

<file path=xl/sharedStrings.xml><?xml version="1.0" encoding="utf-8"?>
<sst xmlns="http://schemas.openxmlformats.org/spreadsheetml/2006/main" count="137" uniqueCount="132">
  <si>
    <t>SPC控制图</t>
  </si>
  <si>
    <t>工厂车间</t>
  </si>
  <si>
    <t>工序名称</t>
  </si>
  <si>
    <t>质量特性</t>
  </si>
  <si>
    <t>公差上限</t>
  </si>
  <si>
    <r>
      <t>组容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频率</t>
    </r>
  </si>
  <si>
    <t>检验员/组长</t>
  </si>
  <si>
    <t>机器编号</t>
  </si>
  <si>
    <t>规 格 值</t>
  </si>
  <si>
    <t>公差下限</t>
  </si>
  <si>
    <t>型号</t>
  </si>
  <si>
    <t>●</t>
  </si>
  <si>
    <r>
      <t>说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明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栏</t>
    </r>
  </si>
  <si>
    <t>●对特殊原因采取措施说明</t>
  </si>
  <si>
    <t>●采取措施的说明</t>
  </si>
  <si>
    <t>组容</t>
  </si>
  <si>
    <r>
      <t>A</t>
    </r>
    <r>
      <rPr>
        <vertAlign val="subscript"/>
        <sz val="10"/>
        <rFont val="Arial"/>
        <family val="2"/>
      </rPr>
      <t>2</t>
    </r>
  </si>
  <si>
    <r>
      <t>D</t>
    </r>
    <r>
      <rPr>
        <vertAlign val="subscript"/>
        <sz val="10"/>
        <rFont val="Arial"/>
        <family val="2"/>
      </rPr>
      <t>3</t>
    </r>
  </si>
  <si>
    <r>
      <t>D</t>
    </r>
    <r>
      <rPr>
        <vertAlign val="subscript"/>
        <sz val="10"/>
        <rFont val="Arial"/>
        <family val="2"/>
      </rPr>
      <t>4</t>
    </r>
  </si>
  <si>
    <r>
      <t>d</t>
    </r>
    <r>
      <rPr>
        <vertAlign val="subscript"/>
        <sz val="10"/>
        <rFont val="Arial"/>
        <family val="2"/>
      </rPr>
      <t>2</t>
    </r>
  </si>
  <si>
    <t>*</t>
  </si>
  <si>
    <r>
      <t>R=AVE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R</t>
    </r>
    <r>
      <rPr>
        <sz val="10"/>
        <rFont val="宋体"/>
        <family val="3"/>
        <charset val="134"/>
      </rPr>
      <t>）</t>
    </r>
    <r>
      <rPr>
        <sz val="10"/>
        <rFont val="Arial"/>
        <family val="2"/>
      </rPr>
      <t>=</t>
    </r>
  </si>
  <si>
    <r>
      <t>UCL</t>
    </r>
    <r>
      <rPr>
        <sz val="6"/>
        <rFont val="Arial"/>
        <family val="2"/>
      </rPr>
      <t>R</t>
    </r>
    <r>
      <rPr>
        <sz val="10"/>
        <rFont val="Arial"/>
        <family val="2"/>
      </rPr>
      <t>=D</t>
    </r>
    <r>
      <rPr>
        <sz val="6"/>
        <rFont val="Arial"/>
        <family val="2"/>
      </rPr>
      <t>4</t>
    </r>
    <r>
      <rPr>
        <sz val="10"/>
        <rFont val="Arial"/>
        <family val="2"/>
      </rPr>
      <t>R=</t>
    </r>
  </si>
  <si>
    <t>Ô</t>
  </si>
  <si>
    <t>=</t>
  </si>
  <si>
    <r>
      <t>LCL</t>
    </r>
    <r>
      <rPr>
        <sz val="6"/>
        <rFont val="Arial"/>
        <family val="2"/>
      </rPr>
      <t>R</t>
    </r>
    <r>
      <rPr>
        <sz val="10"/>
        <rFont val="Arial"/>
        <family val="2"/>
      </rPr>
      <t>=D</t>
    </r>
    <r>
      <rPr>
        <sz val="6"/>
        <rFont val="Arial"/>
        <family val="2"/>
      </rPr>
      <t>3</t>
    </r>
    <r>
      <rPr>
        <sz val="10"/>
        <rFont val="Arial"/>
        <family val="2"/>
      </rPr>
      <t>R=</t>
    </r>
  </si>
  <si>
    <r>
      <t>RANGES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 xml:space="preserve">R CHART </t>
    </r>
    <r>
      <rPr>
        <b/>
        <sz val="10"/>
        <rFont val="宋体"/>
        <family val="3"/>
        <charset val="134"/>
      </rPr>
      <t>）</t>
    </r>
  </si>
  <si>
    <t>USL-X</t>
  </si>
  <si>
    <t>X-LSL</t>
  </si>
  <si>
    <r>
      <t>)</t>
    </r>
    <r>
      <rPr>
        <sz val="7"/>
        <rFont val="宋体"/>
        <family val="3"/>
        <charset val="134"/>
      </rPr>
      <t>≥</t>
    </r>
    <r>
      <rPr>
        <sz val="7"/>
        <rFont val="Arial"/>
        <family val="2"/>
      </rPr>
      <t>1.67</t>
    </r>
  </si>
  <si>
    <t>=Min(</t>
  </si>
  <si>
    <t>) =</t>
  </si>
  <si>
    <t>子组序号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</si>
  <si>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</si>
  <si>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</si>
  <si>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</si>
  <si>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</si>
  <si>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</si>
  <si>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</si>
  <si>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</si>
  <si>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</si>
  <si>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</si>
  <si>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</si>
  <si>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</si>
  <si>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</si>
  <si>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</si>
  <si>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</si>
  <si>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</si>
  <si>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</si>
  <si>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</si>
  <si>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</si>
  <si>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</si>
  <si>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</si>
  <si>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</si>
  <si>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</si>
  <si>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</si>
  <si>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</si>
  <si>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</si>
  <si>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检查记录</t>
  </si>
  <si>
    <t>AVERAGE(X)</t>
  </si>
  <si>
    <t>MAX-MIN(R)</t>
  </si>
  <si>
    <r>
      <t>UCL</t>
    </r>
    <r>
      <rPr>
        <vertAlign val="subscript"/>
        <sz val="8"/>
        <rFont val="Arial"/>
        <family val="2"/>
      </rPr>
      <t>X</t>
    </r>
  </si>
  <si>
    <r>
      <t>CL</t>
    </r>
    <r>
      <rPr>
        <vertAlign val="subscript"/>
        <sz val="8"/>
        <rFont val="Arial"/>
        <family val="2"/>
      </rPr>
      <t>R</t>
    </r>
  </si>
  <si>
    <r>
      <t>UCL</t>
    </r>
    <r>
      <rPr>
        <vertAlign val="subscript"/>
        <sz val="8"/>
        <rFont val="Arial"/>
        <family val="2"/>
      </rPr>
      <t>R</t>
    </r>
  </si>
  <si>
    <r>
      <t>LCL</t>
    </r>
    <r>
      <rPr>
        <vertAlign val="subscript"/>
        <sz val="8"/>
        <rFont val="Arial"/>
        <family val="2"/>
      </rPr>
      <t>R</t>
    </r>
  </si>
  <si>
    <t>结论：</t>
  </si>
  <si>
    <r>
      <t>制表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日期</t>
    </r>
    <r>
      <rPr>
        <sz val="10"/>
        <rFont val="Arial"/>
        <family val="2"/>
      </rPr>
      <t>:</t>
    </r>
  </si>
  <si>
    <r>
      <t>批准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日期</t>
    </r>
    <r>
      <rPr>
        <sz val="10"/>
        <rFont val="Arial"/>
        <family val="2"/>
      </rPr>
      <t>:</t>
    </r>
  </si>
  <si>
    <t>项目编号:</t>
  </si>
  <si>
    <t>σ</t>
    <phoneticPr fontId="19" type="noConversion"/>
  </si>
  <si>
    <t xml:space="preserve">CL </t>
    <phoneticPr fontId="19" type="noConversion"/>
  </si>
  <si>
    <t>UCL</t>
    <phoneticPr fontId="19" type="noConversion"/>
  </si>
  <si>
    <t>LCL</t>
    <phoneticPr fontId="19" type="noConversion"/>
  </si>
  <si>
    <t>UCL1</t>
    <phoneticPr fontId="19" type="noConversion"/>
  </si>
  <si>
    <t>UCL2</t>
    <phoneticPr fontId="19" type="noConversion"/>
  </si>
  <si>
    <t>LCL1</t>
    <phoneticPr fontId="19" type="noConversion"/>
  </si>
  <si>
    <t>LCL2</t>
    <phoneticPr fontId="19" type="noConversion"/>
  </si>
  <si>
    <r>
      <t>CL</t>
    </r>
    <r>
      <rPr>
        <vertAlign val="subscript"/>
        <sz val="8"/>
        <rFont val="Arial"/>
        <family val="2"/>
      </rPr>
      <t>X</t>
    </r>
    <phoneticPr fontId="19" type="noConversion"/>
  </si>
  <si>
    <r>
      <t>UCL1</t>
    </r>
    <r>
      <rPr>
        <vertAlign val="subscript"/>
        <sz val="8"/>
        <rFont val="Arial"/>
        <family val="2"/>
      </rPr>
      <t>X</t>
    </r>
    <phoneticPr fontId="19" type="noConversion"/>
  </si>
  <si>
    <r>
      <t>UCL2</t>
    </r>
    <r>
      <rPr>
        <vertAlign val="subscript"/>
        <sz val="8"/>
        <rFont val="Arial"/>
        <family val="2"/>
      </rPr>
      <t>X</t>
    </r>
    <phoneticPr fontId="19" type="noConversion"/>
  </si>
  <si>
    <r>
      <t>LCL1</t>
    </r>
    <r>
      <rPr>
        <vertAlign val="subscript"/>
        <sz val="8"/>
        <rFont val="Arial"/>
        <family val="2"/>
      </rPr>
      <t>X</t>
    </r>
    <phoneticPr fontId="19" type="noConversion"/>
  </si>
  <si>
    <r>
      <t>LCL</t>
    </r>
    <r>
      <rPr>
        <vertAlign val="subscript"/>
        <sz val="8"/>
        <rFont val="Arial"/>
        <family val="2"/>
      </rPr>
      <t>X</t>
    </r>
    <phoneticPr fontId="19" type="noConversion"/>
  </si>
  <si>
    <r>
      <t>LCL2</t>
    </r>
    <r>
      <rPr>
        <vertAlign val="subscript"/>
        <sz val="8"/>
        <rFont val="Arial"/>
        <family val="2"/>
      </rPr>
      <t>X</t>
    </r>
    <phoneticPr fontId="19" type="noConversion"/>
  </si>
  <si>
    <t>产品型号</t>
    <phoneticPr fontId="19" type="noConversion"/>
  </si>
  <si>
    <t>日期/时间</t>
    <phoneticPr fontId="19" type="noConversion"/>
  </si>
  <si>
    <t>准则1:一点落在A区外；</t>
    <phoneticPr fontId="33" type="noConversion"/>
  </si>
  <si>
    <t>准则2:连续6点递增或递减；</t>
    <phoneticPr fontId="33" type="noConversion"/>
  </si>
  <si>
    <t>准则3:连续14点中相邻点上下交替；</t>
    <phoneticPr fontId="33" type="noConversion"/>
  </si>
  <si>
    <t>准则4:连续15点落中心线两侧的C区内；</t>
    <phoneticPr fontId="33" type="noConversion"/>
  </si>
  <si>
    <t>准则5:连续8点落在中心两侧且无一在C区内；</t>
    <phoneticPr fontId="33" type="noConversion"/>
  </si>
  <si>
    <t>准则6:连续9点落在中心线同一侧；</t>
    <phoneticPr fontId="33" type="noConversion"/>
  </si>
  <si>
    <t>准则7:连续3点中有2点落在中心线同一侧的B区以外；</t>
    <phoneticPr fontId="33" type="noConversion"/>
  </si>
  <si>
    <t>准则8:连续5点中有4点落在中心同一侧的C区以外；</t>
    <phoneticPr fontId="33" type="noConversion"/>
  </si>
  <si>
    <t>轮系</t>
    <phoneticPr fontId="36" type="noConversion"/>
  </si>
  <si>
    <t>皮带轮</t>
    <phoneticPr fontId="36" type="noConversion"/>
  </si>
  <si>
    <t>粗车二序</t>
    <phoneticPr fontId="36" type="noConversion"/>
  </si>
  <si>
    <t>NB80793B6/01</t>
    <phoneticPr fontId="36" type="noConversion"/>
  </si>
  <si>
    <t>011-317</t>
    <phoneticPr fontId="36" type="noConversion"/>
  </si>
  <si>
    <r>
      <t>审核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日期</t>
    </r>
    <r>
      <rPr>
        <sz val="10"/>
        <rFont val="Arial"/>
        <family val="2"/>
      </rPr>
      <t>:</t>
    </r>
    <phoneticPr fontId="36" type="noConversion"/>
  </si>
  <si>
    <t>第一槽距</t>
    <phoneticPr fontId="41" type="noConversion"/>
  </si>
  <si>
    <t>10/5</t>
  </si>
  <si>
    <t>10/6</t>
  </si>
  <si>
    <t>10/7</t>
  </si>
  <si>
    <t>10/8</t>
  </si>
  <si>
    <t>10/9</t>
  </si>
  <si>
    <t>10/10</t>
  </si>
  <si>
    <t>10/11</t>
  </si>
  <si>
    <t>10/14</t>
  </si>
  <si>
    <t>10/15</t>
  </si>
  <si>
    <t>10/16</t>
  </si>
  <si>
    <t>10/17</t>
  </si>
  <si>
    <t>10/18</t>
  </si>
  <si>
    <t>10/21</t>
  </si>
  <si>
    <t>10/22</t>
  </si>
  <si>
    <t>10/23</t>
  </si>
  <si>
    <t>10/24</t>
  </si>
  <si>
    <t>10/25</t>
  </si>
  <si>
    <t>10/28</t>
  </si>
  <si>
    <t>10/29</t>
  </si>
  <si>
    <t>10/30</t>
  </si>
  <si>
    <t>10/31</t>
  </si>
  <si>
    <t>10/4</t>
    <phoneticPr fontId="19" type="noConversion"/>
  </si>
  <si>
    <t>10/13</t>
    <phoneticPr fontId="36" type="noConversion"/>
  </si>
  <si>
    <t>10/20</t>
    <phoneticPr fontId="36" type="noConversion"/>
  </si>
  <si>
    <t>10/27</t>
    <phoneticPr fontId="36" type="noConversion"/>
  </si>
  <si>
    <r>
      <t xml:space="preserve"> 李达 </t>
    </r>
    <r>
      <rPr>
        <sz val="10"/>
        <color indexed="61"/>
        <rFont val="宋体"/>
        <family val="3"/>
        <charset val="134"/>
      </rPr>
      <t>2025.</t>
    </r>
    <r>
      <rPr>
        <sz val="10"/>
        <color indexed="61"/>
        <rFont val="宋体"/>
        <family val="3"/>
        <charset val="134"/>
      </rPr>
      <t>10</t>
    </r>
    <r>
      <rPr>
        <sz val="10"/>
        <color indexed="61"/>
        <rFont val="宋体"/>
        <family val="3"/>
        <charset val="134"/>
      </rPr>
      <t>.3</t>
    </r>
    <r>
      <rPr>
        <sz val="10"/>
        <color indexed="61"/>
        <rFont val="宋体"/>
        <family val="3"/>
        <charset val="134"/>
      </rPr>
      <t>1</t>
    </r>
    <phoneticPr fontId="36" type="noConversion"/>
  </si>
  <si>
    <r>
      <t xml:space="preserve"> 李林 2025.10</t>
    </r>
    <r>
      <rPr>
        <sz val="10"/>
        <color indexed="61"/>
        <rFont val="宋体"/>
        <family val="3"/>
        <charset val="134"/>
      </rPr>
      <t>.3</t>
    </r>
    <r>
      <rPr>
        <sz val="10"/>
        <color indexed="61"/>
        <rFont val="宋体"/>
        <family val="3"/>
        <charset val="134"/>
      </rPr>
      <t>1</t>
    </r>
    <phoneticPr fontId="36" type="noConversion"/>
  </si>
  <si>
    <r>
      <t>羊文锦 2025.10</t>
    </r>
    <r>
      <rPr>
        <sz val="10"/>
        <color indexed="61"/>
        <rFont val="宋体"/>
        <family val="3"/>
        <charset val="134"/>
      </rPr>
      <t>.3</t>
    </r>
    <r>
      <rPr>
        <sz val="10"/>
        <color indexed="61"/>
        <rFont val="宋体"/>
        <family val="3"/>
        <charset val="134"/>
      </rPr>
      <t>1</t>
    </r>
    <phoneticPr fontId="36" type="noConversion"/>
  </si>
  <si>
    <r>
      <t>1.</t>
    </r>
    <r>
      <rPr>
        <sz val="9"/>
        <rFont val="宋体"/>
        <family val="3"/>
        <charset val="134"/>
      </rPr>
      <t>在确定</t>
    </r>
    <r>
      <rPr>
        <sz val="9"/>
        <rFont val="Arial"/>
        <family val="3"/>
      </rPr>
      <t>C</t>
    </r>
    <r>
      <rPr>
        <sz val="9"/>
        <rFont val="Arial"/>
        <family val="2"/>
      </rPr>
      <t>pk</t>
    </r>
    <r>
      <rPr>
        <sz val="9"/>
        <rFont val="宋体"/>
        <family val="3"/>
        <charset val="134"/>
      </rPr>
      <t>前过程必须受控</t>
    </r>
    <phoneticPr fontId="36" type="noConversion"/>
  </si>
  <si>
    <r>
      <t>●</t>
    </r>
    <r>
      <rPr>
        <sz val="8"/>
        <rFont val="Arial"/>
        <family val="2"/>
      </rPr>
      <t>Cpk = Min (</t>
    </r>
    <phoneticPr fontId="36" type="noConversion"/>
  </si>
  <si>
    <r>
      <t>3</t>
    </r>
    <r>
      <rPr>
        <sz val="8"/>
        <rFont val="Arial"/>
        <family val="3"/>
        <charset val="161"/>
      </rPr>
      <t>σ</t>
    </r>
    <phoneticPr fontId="36" type="noConversion"/>
  </si>
  <si>
    <t>3σ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</si>
</sst>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;[Red]0.00"/>
    <numFmt numFmtId="177" formatCode="0.000_ "/>
    <numFmt numFmtId="178" formatCode="0.000;[Red]0.000"/>
    <numFmt numFmtId="179" formatCode="0.0000;[Red]0.0000"/>
    <numFmt numFmtId="180" formatCode="0.00_);[Red]\(0.00\)"/>
    <numFmt numFmtId="181" formatCode="0.00_ "/>
    <numFmt numFmtId="182" formatCode="yyyy/m/d;@"/>
    <numFmt numFmtId="183" formatCode="0.00000_ "/>
    <numFmt numFmtId="184" formatCode="0.000"/>
  </numFmts>
  <fonts count="50" x14ac:knownFonts="1">
    <font>
      <sz val="12"/>
      <name val="宋体"/>
      <charset val="134"/>
    </font>
    <font>
      <sz val="10"/>
      <name val="Arial"/>
      <family val="2"/>
    </font>
    <font>
      <sz val="8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  <font>
      <sz val="10"/>
      <name val="宋体"/>
      <family val="3"/>
      <charset val="134"/>
    </font>
    <font>
      <b/>
      <sz val="10"/>
      <color indexed="61"/>
      <name val="Arial"/>
      <family val="2"/>
    </font>
    <font>
      <sz val="10"/>
      <color indexed="12"/>
      <name val="宋体"/>
      <family val="3"/>
      <charset val="134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宋体"/>
      <family val="3"/>
      <charset val="134"/>
    </font>
    <font>
      <sz val="8"/>
      <name val="宋体"/>
      <family val="3"/>
      <charset val="134"/>
    </font>
    <font>
      <sz val="8"/>
      <color indexed="61"/>
      <name val="Times New Roman"/>
      <family val="1"/>
    </font>
    <font>
      <sz val="7"/>
      <name val="Arial"/>
      <family val="2"/>
    </font>
    <font>
      <sz val="14"/>
      <name val="宋体"/>
      <family val="3"/>
      <charset val="134"/>
    </font>
    <font>
      <sz val="14"/>
      <color indexed="10"/>
      <name val="Arial"/>
      <family val="2"/>
    </font>
    <font>
      <sz val="10"/>
      <color indexed="61"/>
      <name val="宋体"/>
      <family val="3"/>
      <charset val="134"/>
    </font>
    <font>
      <sz val="10"/>
      <color indexed="61"/>
      <name val="Arial"/>
      <family val="2"/>
    </font>
    <font>
      <sz val="9"/>
      <name val="宋体"/>
      <family val="3"/>
      <charset val="134"/>
    </font>
    <font>
      <sz val="9"/>
      <name val="Arial"/>
      <family val="2"/>
    </font>
    <font>
      <sz val="8"/>
      <color indexed="10"/>
      <name val="Arial"/>
      <family val="2"/>
    </font>
    <font>
      <sz val="11"/>
      <color indexed="17"/>
      <name val="宋体"/>
      <family val="3"/>
      <charset val="134"/>
    </font>
    <font>
      <sz val="11"/>
      <color indexed="16"/>
      <name val="宋体"/>
      <family val="3"/>
      <charset val="134"/>
    </font>
    <font>
      <b/>
      <sz val="10"/>
      <name val="MS Sans Serif"/>
      <family val="2"/>
    </font>
    <font>
      <sz val="12"/>
      <name val="新細明體"/>
      <family val="1"/>
    </font>
    <font>
      <sz val="6"/>
      <name val="Arial"/>
      <family val="2"/>
    </font>
    <font>
      <sz val="10"/>
      <name val="Times New Roman"/>
      <family val="1"/>
    </font>
    <font>
      <vertAlign val="subscript"/>
      <sz val="10"/>
      <name val="Arial"/>
      <family val="2"/>
    </font>
    <font>
      <b/>
      <sz val="10"/>
      <name val="宋体"/>
      <family val="3"/>
      <charset val="134"/>
    </font>
    <font>
      <sz val="7"/>
      <name val="宋体"/>
      <family val="3"/>
      <charset val="134"/>
    </font>
    <font>
      <vertAlign val="subscript"/>
      <sz val="8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indexed="61"/>
      <name val="宋体"/>
      <family val="3"/>
      <charset val="134"/>
    </font>
    <font>
      <b/>
      <sz val="10"/>
      <color indexed="61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61"/>
      <name val="宋体"/>
      <family val="3"/>
      <charset val="134"/>
    </font>
    <font>
      <b/>
      <sz val="10"/>
      <color indexed="6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indexed="6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Times New Roman"/>
      <family val="1"/>
    </font>
    <font>
      <sz val="9"/>
      <name val="Arial"/>
      <family val="3"/>
    </font>
    <font>
      <sz val="8"/>
      <name val="Arial"/>
      <family val="3"/>
      <charset val="161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44" fillId="0" borderId="0">
      <alignment vertical="center"/>
    </xf>
    <xf numFmtId="0" fontId="32" fillId="0" borderId="0"/>
    <xf numFmtId="0" fontId="32" fillId="0" borderId="0">
      <alignment vertical="center"/>
    </xf>
    <xf numFmtId="0" fontId="42" fillId="0" borderId="0">
      <alignment vertical="center"/>
    </xf>
    <xf numFmtId="0" fontId="32" fillId="0" borderId="0">
      <alignment vertical="center"/>
    </xf>
    <xf numFmtId="0" fontId="32" fillId="0" borderId="0"/>
    <xf numFmtId="0" fontId="22" fillId="3" borderId="0" applyNumberFormat="0" applyBorder="0" applyAlignment="0" applyProtection="0">
      <alignment vertical="center"/>
    </xf>
    <xf numFmtId="0" fontId="25" fillId="0" borderId="0"/>
  </cellStyleXfs>
  <cellXfs count="146">
    <xf numFmtId="0" fontId="0" fillId="0" borderId="0" xfId="0">
      <alignment vertical="center"/>
    </xf>
    <xf numFmtId="0" fontId="1" fillId="0" borderId="0" xfId="9" applyFont="1" applyAlignment="1">
      <alignment horizontal="center" vertical="center"/>
    </xf>
    <xf numFmtId="49" fontId="1" fillId="0" borderId="0" xfId="9" applyNumberFormat="1" applyFont="1" applyAlignment="1">
      <alignment horizontal="center" vertical="center"/>
    </xf>
    <xf numFmtId="0" fontId="1" fillId="0" borderId="0" xfId="9" applyFont="1" applyAlignment="1">
      <alignment horizontal="left" vertical="center"/>
    </xf>
    <xf numFmtId="0" fontId="2" fillId="0" borderId="0" xfId="9" applyFont="1" applyAlignment="1">
      <alignment horizontal="center"/>
    </xf>
    <xf numFmtId="176" fontId="2" fillId="0" borderId="0" xfId="9" applyNumberFormat="1" applyFont="1" applyAlignment="1">
      <alignment horizontal="center" vertical="center"/>
    </xf>
    <xf numFmtId="0" fontId="1" fillId="0" borderId="0" xfId="9" applyFont="1" applyAlignment="1">
      <alignment horizontal="center"/>
    </xf>
    <xf numFmtId="0" fontId="7" fillId="4" borderId="1" xfId="9" applyFont="1" applyFill="1" applyBorder="1" applyAlignment="1">
      <alignment horizontal="center"/>
    </xf>
    <xf numFmtId="176" fontId="1" fillId="0" borderId="0" xfId="9" applyNumberFormat="1" applyFont="1" applyAlignment="1">
      <alignment horizontal="center" vertical="center"/>
    </xf>
    <xf numFmtId="176" fontId="5" fillId="0" borderId="0" xfId="9" applyNumberFormat="1" applyFont="1" applyAlignment="1">
      <alignment horizontal="center" vertical="center"/>
    </xf>
    <xf numFmtId="0" fontId="11" fillId="4" borderId="1" xfId="9" applyFont="1" applyFill="1" applyBorder="1" applyAlignment="1">
      <alignment horizontal="center" vertical="center"/>
    </xf>
    <xf numFmtId="176" fontId="1" fillId="4" borderId="2" xfId="9" applyNumberFormat="1" applyFont="1" applyFill="1" applyBorder="1" applyAlignment="1">
      <alignment horizontal="center" vertical="center"/>
    </xf>
    <xf numFmtId="176" fontId="12" fillId="0" borderId="0" xfId="9" applyNumberFormat="1" applyFont="1" applyAlignment="1">
      <alignment horizontal="center" vertical="center"/>
    </xf>
    <xf numFmtId="0" fontId="5" fillId="0" borderId="3" xfId="9" applyFont="1" applyBorder="1" applyAlignment="1">
      <alignment horizontal="left" vertical="center"/>
    </xf>
    <xf numFmtId="49" fontId="13" fillId="5" borderId="4" xfId="9" applyNumberFormat="1" applyFont="1" applyFill="1" applyBorder="1" applyAlignment="1">
      <alignment horizontal="center" vertical="center" shrinkToFit="1"/>
    </xf>
    <xf numFmtId="177" fontId="2" fillId="0" borderId="0" xfId="9" applyNumberFormat="1" applyFont="1" applyAlignment="1">
      <alignment horizontal="center"/>
    </xf>
    <xf numFmtId="178" fontId="14" fillId="6" borderId="5" xfId="9" applyNumberFormat="1" applyFont="1" applyFill="1" applyBorder="1" applyAlignment="1">
      <alignment horizontal="center" vertical="center"/>
    </xf>
    <xf numFmtId="179" fontId="14" fillId="4" borderId="4" xfId="9" applyNumberFormat="1" applyFont="1" applyFill="1" applyBorder="1" applyAlignment="1">
      <alignment horizontal="center" vertical="center"/>
    </xf>
    <xf numFmtId="176" fontId="5" fillId="0" borderId="6" xfId="9" applyNumberFormat="1" applyFont="1" applyBorder="1" applyAlignment="1">
      <alignment horizontal="center" vertical="center"/>
    </xf>
    <xf numFmtId="176" fontId="1" fillId="0" borderId="7" xfId="9" applyNumberFormat="1" applyFont="1" applyBorder="1" applyAlignment="1">
      <alignment horizontal="center" vertical="center"/>
    </xf>
    <xf numFmtId="49" fontId="1" fillId="0" borderId="8" xfId="9" applyNumberFormat="1" applyFont="1" applyBorder="1" applyAlignment="1">
      <alignment horizontal="center" vertical="center"/>
    </xf>
    <xf numFmtId="180" fontId="20" fillId="0" borderId="0" xfId="9" applyNumberFormat="1" applyFont="1" applyAlignment="1">
      <alignment horizontal="center" vertical="center"/>
    </xf>
    <xf numFmtId="49" fontId="2" fillId="5" borderId="9" xfId="9" applyNumberFormat="1" applyFont="1" applyFill="1" applyBorder="1" applyAlignment="1">
      <alignment horizontal="right" vertical="center"/>
    </xf>
    <xf numFmtId="181" fontId="2" fillId="5" borderId="10" xfId="9" applyNumberFormat="1" applyFont="1" applyFill="1" applyBorder="1" applyAlignment="1">
      <alignment horizontal="right" vertical="center"/>
    </xf>
    <xf numFmtId="0" fontId="1" fillId="0" borderId="11" xfId="9" applyFont="1" applyBorder="1" applyAlignment="1">
      <alignment horizontal="center" vertical="center"/>
    </xf>
    <xf numFmtId="180" fontId="20" fillId="0" borderId="12" xfId="9" applyNumberFormat="1" applyFont="1" applyBorder="1" applyAlignment="1">
      <alignment horizontal="center" vertical="center"/>
    </xf>
    <xf numFmtId="0" fontId="2" fillId="0" borderId="0" xfId="9" applyFont="1" applyAlignment="1">
      <alignment horizontal="center" vertical="center"/>
    </xf>
    <xf numFmtId="176" fontId="2" fillId="5" borderId="13" xfId="9" applyNumberFormat="1" applyFont="1" applyFill="1" applyBorder="1" applyAlignment="1">
      <alignment horizontal="center" vertical="center"/>
    </xf>
    <xf numFmtId="176" fontId="2" fillId="5" borderId="14" xfId="9" applyNumberFormat="1" applyFont="1" applyFill="1" applyBorder="1" applyAlignment="1">
      <alignment horizontal="center" vertical="center"/>
    </xf>
    <xf numFmtId="176" fontId="2" fillId="5" borderId="15" xfId="9" applyNumberFormat="1" applyFont="1" applyFill="1" applyBorder="1" applyAlignment="1">
      <alignment horizontal="center" vertical="center"/>
    </xf>
    <xf numFmtId="176" fontId="2" fillId="5" borderId="16" xfId="9" applyNumberFormat="1" applyFont="1" applyFill="1" applyBorder="1" applyAlignment="1">
      <alignment horizontal="center" vertical="center"/>
    </xf>
    <xf numFmtId="181" fontId="2" fillId="5" borderId="17" xfId="9" applyNumberFormat="1" applyFont="1" applyFill="1" applyBorder="1" applyAlignment="1">
      <alignment horizontal="right" vertical="center"/>
    </xf>
    <xf numFmtId="0" fontId="2" fillId="5" borderId="3" xfId="9" applyFont="1" applyFill="1" applyBorder="1" applyAlignment="1">
      <alignment horizontal="center" vertical="center"/>
    </xf>
    <xf numFmtId="181" fontId="21" fillId="5" borderId="18" xfId="9" applyNumberFormat="1" applyFont="1" applyFill="1" applyBorder="1" applyAlignment="1">
      <alignment horizontal="right" vertical="center"/>
    </xf>
    <xf numFmtId="183" fontId="1" fillId="0" borderId="0" xfId="9" applyNumberFormat="1" applyFont="1" applyAlignment="1">
      <alignment horizontal="center" vertical="center"/>
    </xf>
    <xf numFmtId="49" fontId="13" fillId="5" borderId="19" xfId="9" applyNumberFormat="1" applyFont="1" applyFill="1" applyBorder="1" applyAlignment="1">
      <alignment horizontal="center" vertical="center" shrinkToFit="1"/>
    </xf>
    <xf numFmtId="49" fontId="2" fillId="0" borderId="0" xfId="9" applyNumberFormat="1" applyFont="1" applyAlignment="1">
      <alignment horizontal="center" vertical="center"/>
    </xf>
    <xf numFmtId="178" fontId="45" fillId="4" borderId="2" xfId="9" applyNumberFormat="1" applyFont="1" applyFill="1" applyBorder="1" applyAlignment="1">
      <alignment horizontal="center" vertical="center"/>
    </xf>
    <xf numFmtId="176" fontId="46" fillId="4" borderId="2" xfId="9" applyNumberFormat="1" applyFont="1" applyFill="1" applyBorder="1" applyAlignment="1">
      <alignment horizontal="center" vertical="center"/>
    </xf>
    <xf numFmtId="176" fontId="46" fillId="4" borderId="20" xfId="9" applyNumberFormat="1" applyFont="1" applyFill="1" applyBorder="1" applyAlignment="1">
      <alignment horizontal="center" vertical="center"/>
    </xf>
    <xf numFmtId="178" fontId="14" fillId="4" borderId="4" xfId="9" applyNumberFormat="1" applyFont="1" applyFill="1" applyBorder="1" applyAlignment="1">
      <alignment horizontal="center" vertical="center"/>
    </xf>
    <xf numFmtId="184" fontId="14" fillId="4" borderId="4" xfId="9" applyNumberFormat="1" applyFont="1" applyFill="1" applyBorder="1" applyAlignment="1">
      <alignment horizontal="center" vertical="center"/>
    </xf>
    <xf numFmtId="0" fontId="45" fillId="4" borderId="21" xfId="9" applyFont="1" applyFill="1" applyBorder="1" applyAlignment="1">
      <alignment vertical="center"/>
    </xf>
    <xf numFmtId="0" fontId="45" fillId="4" borderId="2" xfId="9" applyFont="1" applyFill="1" applyBorder="1" applyAlignment="1">
      <alignment vertical="center"/>
    </xf>
    <xf numFmtId="176" fontId="45" fillId="4" borderId="2" xfId="9" applyNumberFormat="1" applyFont="1" applyFill="1" applyBorder="1" applyAlignment="1">
      <alignment horizontal="center" vertical="center"/>
    </xf>
    <xf numFmtId="184" fontId="14" fillId="4" borderId="19" xfId="9" applyNumberFormat="1" applyFont="1" applyFill="1" applyBorder="1" applyAlignment="1">
      <alignment horizontal="center" vertical="center"/>
    </xf>
    <xf numFmtId="179" fontId="14" fillId="4" borderId="19" xfId="9" applyNumberFormat="1" applyFont="1" applyFill="1" applyBorder="1" applyAlignment="1">
      <alignment horizontal="center" vertical="center"/>
    </xf>
    <xf numFmtId="178" fontId="14" fillId="6" borderId="22" xfId="9" applyNumberFormat="1" applyFont="1" applyFill="1" applyBorder="1" applyAlignment="1">
      <alignment horizontal="center" vertical="center"/>
    </xf>
    <xf numFmtId="0" fontId="2" fillId="4" borderId="21" xfId="9" applyFont="1" applyFill="1" applyBorder="1" applyAlignment="1">
      <alignment horizontal="center" vertical="center"/>
    </xf>
    <xf numFmtId="184" fontId="14" fillId="6" borderId="23" xfId="9" applyNumberFormat="1" applyFont="1" applyFill="1" applyBorder="1" applyAlignment="1">
      <alignment horizontal="center" vertical="center"/>
    </xf>
    <xf numFmtId="49" fontId="47" fillId="7" borderId="24" xfId="9" applyNumberFormat="1" applyFont="1" applyFill="1" applyBorder="1" applyAlignment="1">
      <alignment horizontal="center" vertical="center" shrinkToFit="1"/>
    </xf>
    <xf numFmtId="0" fontId="44" fillId="0" borderId="0" xfId="0" applyFont="1" applyAlignment="1"/>
    <xf numFmtId="184" fontId="44" fillId="0" borderId="4" xfId="0" applyNumberFormat="1" applyFont="1" applyBorder="1" applyAlignment="1">
      <alignment horizontal="center" vertical="center"/>
    </xf>
    <xf numFmtId="0" fontId="3" fillId="0" borderId="31" xfId="9" applyFont="1" applyBorder="1" applyAlignment="1">
      <alignment horizontal="center" vertical="top"/>
    </xf>
    <xf numFmtId="0" fontId="4" fillId="0" borderId="32" xfId="9" applyFont="1" applyBorder="1" applyAlignment="1">
      <alignment horizontal="center" vertical="top"/>
    </xf>
    <xf numFmtId="0" fontId="4" fillId="0" borderId="33" xfId="9" applyFont="1" applyBorder="1" applyAlignment="1">
      <alignment horizontal="center" vertical="top"/>
    </xf>
    <xf numFmtId="0" fontId="5" fillId="4" borderId="41" xfId="9" applyFont="1" applyFill="1" applyBorder="1" applyAlignment="1">
      <alignment horizontal="center" vertical="center"/>
    </xf>
    <xf numFmtId="0" fontId="5" fillId="4" borderId="36" xfId="9" applyFont="1" applyFill="1" applyBorder="1" applyAlignment="1">
      <alignment horizontal="center" vertical="center"/>
    </xf>
    <xf numFmtId="176" fontId="35" fillId="0" borderId="36" xfId="9" applyNumberFormat="1" applyFont="1" applyBorder="1" applyAlignment="1">
      <alignment horizontal="center" vertical="center" shrinkToFit="1"/>
    </xf>
    <xf numFmtId="176" fontId="6" fillId="0" borderId="36" xfId="9" applyNumberFormat="1" applyFont="1" applyBorder="1" applyAlignment="1">
      <alignment horizontal="center" vertical="center" shrinkToFit="1"/>
    </xf>
    <xf numFmtId="0" fontId="35" fillId="0" borderId="36" xfId="9" applyFont="1" applyBorder="1" applyAlignment="1">
      <alignment horizontal="center" vertical="center" shrinkToFit="1"/>
    </xf>
    <xf numFmtId="0" fontId="6" fillId="0" borderId="36" xfId="9" applyFont="1" applyBorder="1" applyAlignment="1">
      <alignment horizontal="center" vertical="center" shrinkToFit="1"/>
    </xf>
    <xf numFmtId="0" fontId="34" fillId="0" borderId="37" xfId="9" applyFont="1" applyBorder="1" applyAlignment="1">
      <alignment horizontal="center" vertical="center" shrinkToFit="1"/>
    </xf>
    <xf numFmtId="0" fontId="40" fillId="0" borderId="38" xfId="9" applyFont="1" applyBorder="1" applyAlignment="1">
      <alignment horizontal="center" vertical="center" shrinkToFit="1"/>
    </xf>
    <xf numFmtId="181" fontId="40" fillId="0" borderId="37" xfId="9" applyNumberFormat="1" applyFont="1" applyBorder="1" applyAlignment="1">
      <alignment horizontal="center" vertical="center" shrinkToFit="1"/>
    </xf>
    <xf numFmtId="181" fontId="40" fillId="0" borderId="38" xfId="9" applyNumberFormat="1" applyFont="1" applyBorder="1" applyAlignment="1">
      <alignment horizontal="center" vertical="center" shrinkToFit="1"/>
    </xf>
    <xf numFmtId="0" fontId="5" fillId="4" borderId="1" xfId="9" applyFont="1" applyFill="1" applyBorder="1" applyAlignment="1">
      <alignment horizontal="center" vertical="center"/>
    </xf>
    <xf numFmtId="0" fontId="5" fillId="4" borderId="4" xfId="9" applyFont="1" applyFill="1" applyBorder="1" applyAlignment="1">
      <alignment horizontal="center" vertical="center"/>
    </xf>
    <xf numFmtId="0" fontId="40" fillId="0" borderId="4" xfId="9" applyFont="1" applyBorder="1" applyAlignment="1">
      <alignment horizontal="center" vertical="center" shrinkToFit="1"/>
    </xf>
    <xf numFmtId="0" fontId="6" fillId="0" borderId="4" xfId="9" applyFont="1" applyBorder="1" applyAlignment="1">
      <alignment horizontal="center" vertical="center" shrinkToFit="1"/>
    </xf>
    <xf numFmtId="176" fontId="45" fillId="4" borderId="2" xfId="9" applyNumberFormat="1" applyFont="1" applyFill="1" applyBorder="1" applyAlignment="1">
      <alignment horizontal="center" vertical="center"/>
    </xf>
    <xf numFmtId="176" fontId="5" fillId="0" borderId="21" xfId="9" applyNumberFormat="1" applyFont="1" applyBorder="1" applyAlignment="1">
      <alignment horizontal="center"/>
    </xf>
    <xf numFmtId="176" fontId="5" fillId="0" borderId="2" xfId="9" applyNumberFormat="1" applyFont="1" applyBorder="1" applyAlignment="1">
      <alignment horizontal="center"/>
    </xf>
    <xf numFmtId="176" fontId="5" fillId="0" borderId="28" xfId="9" applyNumberFormat="1" applyFont="1" applyBorder="1" applyAlignment="1">
      <alignment horizontal="center"/>
    </xf>
    <xf numFmtId="0" fontId="5" fillId="4" borderId="37" xfId="9" applyFont="1" applyFill="1" applyBorder="1" applyAlignment="1">
      <alignment horizontal="center" vertical="center"/>
    </xf>
    <xf numFmtId="0" fontId="5" fillId="4" borderId="38" xfId="9" applyFont="1" applyFill="1" applyBorder="1" applyAlignment="1">
      <alignment horizontal="center" vertical="center"/>
    </xf>
    <xf numFmtId="176" fontId="39" fillId="0" borderId="37" xfId="9" applyNumberFormat="1" applyFont="1" applyBorder="1" applyAlignment="1">
      <alignment horizontal="center" vertical="center" shrinkToFit="1"/>
    </xf>
    <xf numFmtId="176" fontId="17" fillId="0" borderId="39" xfId="9" applyNumberFormat="1" applyFont="1" applyBorder="1" applyAlignment="1">
      <alignment horizontal="center" vertical="center" shrinkToFit="1"/>
    </xf>
    <xf numFmtId="176" fontId="17" fillId="0" borderId="40" xfId="9" applyNumberFormat="1" applyFont="1" applyBorder="1" applyAlignment="1">
      <alignment horizontal="center" vertical="center" shrinkToFit="1"/>
    </xf>
    <xf numFmtId="176" fontId="40" fillId="0" borderId="4" xfId="9" applyNumberFormat="1" applyFont="1" applyBorder="1" applyAlignment="1">
      <alignment horizontal="center" vertical="center" shrinkToFit="1"/>
    </xf>
    <xf numFmtId="176" fontId="6" fillId="0" borderId="4" xfId="9" applyNumberFormat="1" applyFont="1" applyBorder="1" applyAlignment="1">
      <alignment horizontal="center" vertical="center" shrinkToFit="1"/>
    </xf>
    <xf numFmtId="176" fontId="12" fillId="0" borderId="8" xfId="9" applyNumberFormat="1" applyFont="1" applyBorder="1" applyAlignment="1">
      <alignment horizontal="left" vertical="center" wrapText="1"/>
    </xf>
    <xf numFmtId="176" fontId="12" fillId="0" borderId="0" xfId="9" applyNumberFormat="1" applyFont="1" applyAlignment="1">
      <alignment horizontal="left" vertical="center" wrapText="1"/>
    </xf>
    <xf numFmtId="176" fontId="12" fillId="0" borderId="12" xfId="9" applyNumberFormat="1" applyFont="1" applyBorder="1" applyAlignment="1">
      <alignment horizontal="left" vertical="center" wrapText="1"/>
    </xf>
    <xf numFmtId="181" fontId="40" fillId="0" borderId="21" xfId="9" applyNumberFormat="1" applyFont="1" applyBorder="1" applyAlignment="1">
      <alignment horizontal="center" vertical="center" shrinkToFit="1"/>
    </xf>
    <xf numFmtId="181" fontId="40" fillId="0" borderId="20" xfId="9" applyNumberFormat="1" applyFont="1" applyBorder="1" applyAlignment="1">
      <alignment horizontal="center" vertical="center" shrinkToFit="1"/>
    </xf>
    <xf numFmtId="0" fontId="35" fillId="0" borderId="21" xfId="9" applyFont="1" applyBorder="1" applyAlignment="1">
      <alignment horizontal="center" vertical="center" shrinkToFit="1"/>
    </xf>
    <xf numFmtId="0" fontId="35" fillId="0" borderId="20" xfId="9" applyFont="1" applyBorder="1" applyAlignment="1">
      <alignment horizontal="center" vertical="center" shrinkToFit="1"/>
    </xf>
    <xf numFmtId="0" fontId="5" fillId="4" borderId="21" xfId="9" applyFont="1" applyFill="1" applyBorder="1" applyAlignment="1">
      <alignment horizontal="center" vertical="center"/>
    </xf>
    <xf numFmtId="0" fontId="5" fillId="4" borderId="20" xfId="9" applyFont="1" applyFill="1" applyBorder="1" applyAlignment="1">
      <alignment horizontal="center" vertical="center"/>
    </xf>
    <xf numFmtId="0" fontId="17" fillId="0" borderId="4" xfId="9" applyFont="1" applyBorder="1" applyAlignment="1">
      <alignment horizontal="center" vertical="center" shrinkToFit="1"/>
    </xf>
    <xf numFmtId="0" fontId="18" fillId="0" borderId="4" xfId="9" applyFont="1" applyBorder="1" applyAlignment="1">
      <alignment horizontal="center" vertical="center" shrinkToFit="1"/>
    </xf>
    <xf numFmtId="0" fontId="18" fillId="0" borderId="19" xfId="9" applyFont="1" applyBorder="1" applyAlignment="1">
      <alignment horizontal="center" vertical="center" shrinkToFit="1"/>
    </xf>
    <xf numFmtId="0" fontId="5" fillId="4" borderId="27" xfId="9" applyFont="1" applyFill="1" applyBorder="1" applyAlignment="1">
      <alignment horizontal="center" vertical="center"/>
    </xf>
    <xf numFmtId="0" fontId="1" fillId="4" borderId="20" xfId="9" applyFont="1" applyFill="1" applyBorder="1" applyAlignment="1">
      <alignment horizontal="center" vertical="center"/>
    </xf>
    <xf numFmtId="176" fontId="12" fillId="0" borderId="21" xfId="9" applyNumberFormat="1" applyFont="1" applyBorder="1" applyAlignment="1">
      <alignment horizontal="left" vertical="top" wrapText="1"/>
    </xf>
    <xf numFmtId="176" fontId="12" fillId="0" borderId="2" xfId="9" applyNumberFormat="1" applyFont="1" applyBorder="1" applyAlignment="1">
      <alignment horizontal="left" vertical="top" wrapText="1"/>
    </xf>
    <xf numFmtId="176" fontId="12" fillId="0" borderId="28" xfId="9" applyNumberFormat="1" applyFont="1" applyBorder="1" applyAlignment="1">
      <alignment horizontal="left" vertical="top" wrapText="1"/>
    </xf>
    <xf numFmtId="176" fontId="1" fillId="4" borderId="2" xfId="9" applyNumberFormat="1" applyFont="1" applyFill="1" applyBorder="1" applyAlignment="1">
      <alignment horizontal="right" vertical="center"/>
    </xf>
    <xf numFmtId="178" fontId="8" fillId="4" borderId="2" xfId="9" applyNumberFormat="1" applyFont="1" applyFill="1" applyBorder="1" applyAlignment="1">
      <alignment horizontal="center" vertical="center"/>
    </xf>
    <xf numFmtId="0" fontId="9" fillId="4" borderId="1" xfId="9" applyFont="1" applyFill="1" applyBorder="1" applyAlignment="1">
      <alignment horizontal="center" vertical="center" textRotation="180"/>
    </xf>
    <xf numFmtId="0" fontId="10" fillId="4" borderId="1" xfId="9" applyFont="1" applyFill="1" applyBorder="1" applyAlignment="1">
      <alignment horizontal="center" vertical="center" textRotation="180"/>
    </xf>
    <xf numFmtId="176" fontId="12" fillId="0" borderId="6" xfId="9" applyNumberFormat="1" applyFont="1" applyBorder="1" applyAlignment="1">
      <alignment horizontal="left" vertical="center" wrapText="1"/>
    </xf>
    <xf numFmtId="176" fontId="12" fillId="0" borderId="7" xfId="9" applyNumberFormat="1" applyFont="1" applyBorder="1" applyAlignment="1">
      <alignment horizontal="left" vertical="center" wrapText="1"/>
    </xf>
    <xf numFmtId="176" fontId="12" fillId="0" borderId="11" xfId="9" applyNumberFormat="1" applyFont="1" applyBorder="1" applyAlignment="1">
      <alignment horizontal="left" vertical="center" wrapText="1"/>
    </xf>
    <xf numFmtId="49" fontId="20" fillId="0" borderId="6" xfId="9" applyNumberFormat="1" applyFont="1" applyBorder="1" applyAlignment="1">
      <alignment horizontal="left" vertical="center"/>
    </xf>
    <xf numFmtId="49" fontId="20" fillId="0" borderId="7" xfId="9" applyNumberFormat="1" applyFont="1" applyBorder="1" applyAlignment="1">
      <alignment horizontal="left" vertical="center"/>
    </xf>
    <xf numFmtId="49" fontId="20" fillId="0" borderId="11" xfId="9" applyNumberFormat="1" applyFont="1" applyBorder="1" applyAlignment="1">
      <alignment horizontal="left" vertical="center"/>
    </xf>
    <xf numFmtId="49" fontId="20" fillId="0" borderId="9" xfId="9" applyNumberFormat="1" applyFont="1" applyBorder="1" applyAlignment="1">
      <alignment horizontal="left" vertical="center"/>
    </xf>
    <xf numFmtId="49" fontId="20" fillId="0" borderId="3" xfId="9" applyNumberFormat="1" applyFont="1" applyBorder="1" applyAlignment="1">
      <alignment horizontal="left" vertical="center"/>
    </xf>
    <xf numFmtId="49" fontId="20" fillId="0" borderId="18" xfId="9" applyNumberFormat="1" applyFont="1" applyBorder="1" applyAlignment="1">
      <alignment horizontal="left" vertical="center"/>
    </xf>
    <xf numFmtId="0" fontId="12" fillId="5" borderId="6" xfId="9" applyFont="1" applyFill="1" applyBorder="1" applyAlignment="1">
      <alignment horizontal="right" vertical="center"/>
    </xf>
    <xf numFmtId="0" fontId="12" fillId="5" borderId="7" xfId="9" applyFont="1" applyFill="1" applyBorder="1" applyAlignment="1">
      <alignment horizontal="right" vertical="center"/>
    </xf>
    <xf numFmtId="0" fontId="12" fillId="5" borderId="8" xfId="9" applyFont="1" applyFill="1" applyBorder="1" applyAlignment="1">
      <alignment horizontal="right" vertical="center"/>
    </xf>
    <xf numFmtId="0" fontId="12" fillId="5" borderId="0" xfId="9" applyFont="1" applyFill="1" applyAlignment="1">
      <alignment horizontal="right" vertical="center"/>
    </xf>
    <xf numFmtId="0" fontId="2" fillId="5" borderId="11" xfId="9" applyFont="1" applyFill="1" applyBorder="1" applyAlignment="1">
      <alignment horizontal="left" vertical="center"/>
    </xf>
    <xf numFmtId="0" fontId="1" fillId="5" borderId="12" xfId="9" applyFont="1" applyFill="1" applyBorder="1" applyAlignment="1">
      <alignment horizontal="left" vertical="center"/>
    </xf>
    <xf numFmtId="0" fontId="2" fillId="4" borderId="27" xfId="9" applyFont="1" applyFill="1" applyBorder="1" applyAlignment="1">
      <alignment horizontal="center" vertical="center"/>
    </xf>
    <xf numFmtId="0" fontId="2" fillId="4" borderId="20" xfId="9" applyFont="1" applyFill="1" applyBorder="1" applyAlignment="1">
      <alignment horizontal="center" vertical="center"/>
    </xf>
    <xf numFmtId="0" fontId="5" fillId="4" borderId="1" xfId="9" applyFont="1" applyFill="1" applyBorder="1" applyAlignment="1">
      <alignment horizontal="center" vertical="center" textRotation="255"/>
    </xf>
    <xf numFmtId="0" fontId="1" fillId="4" borderId="1" xfId="9" applyFont="1" applyFill="1" applyBorder="1" applyAlignment="1">
      <alignment horizontal="center" vertical="center" textRotation="255"/>
    </xf>
    <xf numFmtId="0" fontId="2" fillId="6" borderId="1" xfId="9" applyFont="1" applyFill="1" applyBorder="1" applyAlignment="1">
      <alignment horizontal="center" vertical="center"/>
    </xf>
    <xf numFmtId="0" fontId="2" fillId="6" borderId="4" xfId="9" applyFont="1" applyFill="1" applyBorder="1" applyAlignment="1">
      <alignment horizontal="center" vertical="center"/>
    </xf>
    <xf numFmtId="0" fontId="2" fillId="6" borderId="30" xfId="9" applyFont="1" applyFill="1" applyBorder="1" applyAlignment="1">
      <alignment horizontal="center" vertical="center"/>
    </xf>
    <xf numFmtId="0" fontId="2" fillId="6" borderId="5" xfId="9" applyFont="1" applyFill="1" applyBorder="1" applyAlignment="1">
      <alignment horizontal="center" vertical="center"/>
    </xf>
    <xf numFmtId="0" fontId="2" fillId="6" borderId="31" xfId="9" applyFont="1" applyFill="1" applyBorder="1" applyAlignment="1">
      <alignment horizontal="center" vertical="center"/>
    </xf>
    <xf numFmtId="0" fontId="2" fillId="6" borderId="32" xfId="9" applyFont="1" applyFill="1" applyBorder="1" applyAlignment="1">
      <alignment horizontal="center" vertical="center"/>
    </xf>
    <xf numFmtId="0" fontId="2" fillId="6" borderId="33" xfId="9" applyFont="1" applyFill="1" applyBorder="1" applyAlignment="1">
      <alignment horizontal="center" vertical="center"/>
    </xf>
    <xf numFmtId="0" fontId="2" fillId="4" borderId="34" xfId="9" applyFont="1" applyFill="1" applyBorder="1" applyAlignment="1">
      <alignment horizontal="center" vertical="center"/>
    </xf>
    <xf numFmtId="0" fontId="2" fillId="4" borderId="35" xfId="9" applyFont="1" applyFill="1" applyBorder="1" applyAlignment="1">
      <alignment horizontal="center" vertical="center"/>
    </xf>
    <xf numFmtId="182" fontId="43" fillId="0" borderId="25" xfId="9" applyNumberFormat="1" applyFont="1" applyBorder="1" applyAlignment="1">
      <alignment horizontal="center" vertical="center"/>
    </xf>
    <xf numFmtId="182" fontId="18" fillId="0" borderId="25" xfId="9" applyNumberFormat="1" applyFont="1" applyBorder="1" applyAlignment="1">
      <alignment horizontal="center" vertical="center"/>
    </xf>
    <xf numFmtId="176" fontId="5" fillId="0" borderId="25" xfId="9" applyNumberFormat="1" applyFont="1" applyBorder="1" applyAlignment="1">
      <alignment horizontal="center" vertical="center"/>
    </xf>
    <xf numFmtId="0" fontId="17" fillId="0" borderId="25" xfId="9" applyFont="1" applyBorder="1" applyAlignment="1">
      <alignment horizontal="center" vertical="center"/>
    </xf>
    <xf numFmtId="0" fontId="18" fillId="0" borderId="25" xfId="9" applyFont="1" applyBorder="1" applyAlignment="1">
      <alignment horizontal="center" vertical="center"/>
    </xf>
    <xf numFmtId="0" fontId="18" fillId="0" borderId="26" xfId="9" applyFont="1" applyBorder="1" applyAlignment="1">
      <alignment horizontal="center" vertical="center"/>
    </xf>
    <xf numFmtId="0" fontId="15" fillId="6" borderId="27" xfId="9" applyFont="1" applyFill="1" applyBorder="1" applyAlignment="1">
      <alignment horizontal="center" vertical="center"/>
    </xf>
    <xf numFmtId="0" fontId="15" fillId="6" borderId="2" xfId="9" applyFont="1" applyFill="1" applyBorder="1" applyAlignment="1">
      <alignment horizontal="center" vertical="center"/>
    </xf>
    <xf numFmtId="0" fontId="15" fillId="6" borderId="20" xfId="9" applyFont="1" applyFill="1" applyBorder="1" applyAlignment="1">
      <alignment horizontal="center" vertical="center"/>
    </xf>
    <xf numFmtId="176" fontId="16" fillId="6" borderId="21" xfId="9" applyNumberFormat="1" applyFont="1" applyFill="1" applyBorder="1" applyAlignment="1">
      <alignment horizontal="center" vertical="center"/>
    </xf>
    <xf numFmtId="176" fontId="16" fillId="6" borderId="2" xfId="9" applyNumberFormat="1" applyFont="1" applyFill="1" applyBorder="1" applyAlignment="1">
      <alignment horizontal="center" vertical="center"/>
    </xf>
    <xf numFmtId="176" fontId="16" fillId="6" borderId="28" xfId="9" applyNumberFormat="1" applyFont="1" applyFill="1" applyBorder="1" applyAlignment="1">
      <alignment horizontal="center" vertical="center"/>
    </xf>
    <xf numFmtId="0" fontId="5" fillId="0" borderId="29" xfId="9" applyFont="1" applyBorder="1" applyAlignment="1">
      <alignment horizontal="center" vertical="center"/>
    </xf>
    <xf numFmtId="0" fontId="5" fillId="0" borderId="25" xfId="9" applyFont="1" applyBorder="1" applyAlignment="1">
      <alignment horizontal="center" vertical="center"/>
    </xf>
    <xf numFmtId="176" fontId="43" fillId="0" borderId="25" xfId="9" applyNumberFormat="1" applyFont="1" applyBorder="1" applyAlignment="1">
      <alignment horizontal="center" vertical="center" shrinkToFit="1"/>
    </xf>
    <xf numFmtId="176" fontId="18" fillId="0" borderId="25" xfId="9" applyNumberFormat="1" applyFont="1" applyBorder="1" applyAlignment="1">
      <alignment horizontal="center" vertical="center" shrinkToFit="1"/>
    </xf>
  </cellXfs>
  <cellStyles count="12">
    <cellStyle name="ColLevel_1" xfId="1" xr:uid="{00000000-0005-0000-0000-000000000000}"/>
    <cellStyle name="RowLevel_1" xfId="2" xr:uid="{00000000-0005-0000-0000-000001000000}"/>
    <cellStyle name="差_CT117-17(PPAP)" xfId="3" xr:uid="{00000000-0005-0000-0000-000002000000}"/>
    <cellStyle name="常规" xfId="0" builtinId="0"/>
    <cellStyle name="常规 11" xfId="4" xr:uid="{00000000-0005-0000-0000-000004000000}"/>
    <cellStyle name="常规 2" xfId="5" xr:uid="{00000000-0005-0000-0000-000005000000}"/>
    <cellStyle name="常规 3" xfId="6" xr:uid="{00000000-0005-0000-0000-000006000000}"/>
    <cellStyle name="常规 4" xfId="7" xr:uid="{00000000-0005-0000-0000-000007000000}"/>
    <cellStyle name="常规 4 2" xfId="8" xr:uid="{00000000-0005-0000-0000-000008000000}"/>
    <cellStyle name="常规_PPK" xfId="9" xr:uid="{00000000-0005-0000-0000-000009000000}"/>
    <cellStyle name="好_CT117-17(PPAP)" xfId="10" xr:uid="{00000000-0005-0000-0000-00000A000000}"/>
    <cellStyle name="一般_R&amp;R form (tolerance)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864469852227401E-2"/>
          <c:y val="6.4681857949574498E-2"/>
          <c:w val="0.96284600878907201"/>
          <c:h val="0.78817733990147798"/>
        </c:manualLayout>
      </c:layout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tx1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dPt>
            <c:idx val="5"/>
            <c:marker>
              <c:spPr>
                <a:solidFill>
                  <a:schemeClr val="tx1"/>
                </a:solidFill>
                <a:ln cap="rnd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247-4280-8E57-B043DDA72A6C}"/>
              </c:ext>
            </c:extLst>
          </c:dPt>
          <c:val>
            <c:numRef>
              <c:f>sheet1!$C$37:$AA$37</c:f>
              <c:numCache>
                <c:formatCode>0.000</c:formatCode>
                <c:ptCount val="25"/>
                <c:pt idx="0">
                  <c:v>14.242200000000002</c:v>
                </c:pt>
                <c:pt idx="1">
                  <c:v>14.238</c:v>
                </c:pt>
                <c:pt idx="2">
                  <c:v>14.241999999999999</c:v>
                </c:pt>
                <c:pt idx="3">
                  <c:v>14.246600000000001</c:v>
                </c:pt>
                <c:pt idx="4">
                  <c:v>14.2256</c:v>
                </c:pt>
                <c:pt idx="5">
                  <c:v>14.232800000000001</c:v>
                </c:pt>
                <c:pt idx="6">
                  <c:v>14.2422</c:v>
                </c:pt>
                <c:pt idx="7">
                  <c:v>14.239000000000001</c:v>
                </c:pt>
                <c:pt idx="8">
                  <c:v>14.250200000000001</c:v>
                </c:pt>
                <c:pt idx="9">
                  <c:v>14.2346</c:v>
                </c:pt>
                <c:pt idx="10">
                  <c:v>14.251799999999999</c:v>
                </c:pt>
                <c:pt idx="11">
                  <c:v>14.233000000000001</c:v>
                </c:pt>
                <c:pt idx="12">
                  <c:v>14.225200000000001</c:v>
                </c:pt>
                <c:pt idx="13">
                  <c:v>14.234399999999999</c:v>
                </c:pt>
                <c:pt idx="14">
                  <c:v>14.237399999999999</c:v>
                </c:pt>
                <c:pt idx="15">
                  <c:v>14.234999999999999</c:v>
                </c:pt>
                <c:pt idx="16">
                  <c:v>14.234999999999999</c:v>
                </c:pt>
                <c:pt idx="17">
                  <c:v>14.248399999999998</c:v>
                </c:pt>
                <c:pt idx="18">
                  <c:v>14.236799999999999</c:v>
                </c:pt>
                <c:pt idx="19">
                  <c:v>14.238399999999999</c:v>
                </c:pt>
                <c:pt idx="20">
                  <c:v>14.239799999999999</c:v>
                </c:pt>
                <c:pt idx="21">
                  <c:v>14.2376</c:v>
                </c:pt>
                <c:pt idx="22">
                  <c:v>14.226400000000002</c:v>
                </c:pt>
                <c:pt idx="23">
                  <c:v>14.242799999999999</c:v>
                </c:pt>
                <c:pt idx="24">
                  <c:v>14.2272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47-4280-8E57-B043DDA72A6C}"/>
            </c:ext>
          </c:extLst>
        </c:ser>
        <c:ser>
          <c:idx val="1"/>
          <c:order val="1"/>
          <c:spPr>
            <a:ln w="1905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sheet1!$C$40:$AA$40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47-4280-8E57-B043DDA72A6C}"/>
            </c:ext>
          </c:extLst>
        </c:ser>
        <c:ser>
          <c:idx val="2"/>
          <c:order val="2"/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val>
            <c:numRef>
              <c:f>sheet1!$C$41:$AA$41</c:f>
              <c:numCache>
                <c:formatCode>0.000</c:formatCode>
                <c:ptCount val="25"/>
                <c:pt idx="0">
                  <c:v>1.4187446259673336E-2</c:v>
                </c:pt>
                <c:pt idx="1">
                  <c:v>1.4187446259673336E-2</c:v>
                </c:pt>
                <c:pt idx="2">
                  <c:v>1.4187446259673336E-2</c:v>
                </c:pt>
                <c:pt idx="3">
                  <c:v>1.4187446259673336E-2</c:v>
                </c:pt>
                <c:pt idx="4">
                  <c:v>1.4187446259673336E-2</c:v>
                </c:pt>
                <c:pt idx="5">
                  <c:v>1.4187446259673336E-2</c:v>
                </c:pt>
                <c:pt idx="6">
                  <c:v>1.4187446259673336E-2</c:v>
                </c:pt>
                <c:pt idx="7">
                  <c:v>1.4187446259673336E-2</c:v>
                </c:pt>
                <c:pt idx="8">
                  <c:v>1.4187446259673336E-2</c:v>
                </c:pt>
                <c:pt idx="9">
                  <c:v>1.4187446259673336E-2</c:v>
                </c:pt>
                <c:pt idx="10">
                  <c:v>1.4187446259673336E-2</c:v>
                </c:pt>
                <c:pt idx="11">
                  <c:v>1.4187446259673336E-2</c:v>
                </c:pt>
                <c:pt idx="12">
                  <c:v>1.4187446259673336E-2</c:v>
                </c:pt>
                <c:pt idx="13">
                  <c:v>1.4187446259673336E-2</c:v>
                </c:pt>
                <c:pt idx="14">
                  <c:v>1.4187446259673336E-2</c:v>
                </c:pt>
                <c:pt idx="15">
                  <c:v>1.4187446259673336E-2</c:v>
                </c:pt>
                <c:pt idx="16">
                  <c:v>1.4187446259673336E-2</c:v>
                </c:pt>
                <c:pt idx="17">
                  <c:v>1.4187446259673336E-2</c:v>
                </c:pt>
                <c:pt idx="18">
                  <c:v>1.4187446259673336E-2</c:v>
                </c:pt>
                <c:pt idx="19">
                  <c:v>1.4187446259673336E-2</c:v>
                </c:pt>
                <c:pt idx="20">
                  <c:v>1.4187446259673336E-2</c:v>
                </c:pt>
                <c:pt idx="21">
                  <c:v>1.4187446259673336E-2</c:v>
                </c:pt>
                <c:pt idx="22">
                  <c:v>1.4187446259673336E-2</c:v>
                </c:pt>
                <c:pt idx="23">
                  <c:v>1.4187446259673336E-2</c:v>
                </c:pt>
                <c:pt idx="24">
                  <c:v>1.4187446259673336E-2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47-4280-8E57-B043DDA72A6C}"/>
            </c:ext>
          </c:extLst>
        </c:ser>
        <c:ser>
          <c:idx val="3"/>
          <c:order val="3"/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val>
            <c:numRef>
              <c:f>sheet1!$C$42:$AA$42</c:f>
              <c:numCache>
                <c:formatCode>0.000</c:formatCode>
                <c:ptCount val="25"/>
                <c:pt idx="0">
                  <c:v>2.8374892519346672E-2</c:v>
                </c:pt>
                <c:pt idx="1">
                  <c:v>2.8374892519346672E-2</c:v>
                </c:pt>
                <c:pt idx="2">
                  <c:v>2.8374892519346672E-2</c:v>
                </c:pt>
                <c:pt idx="3">
                  <c:v>2.8374892519346672E-2</c:v>
                </c:pt>
                <c:pt idx="4">
                  <c:v>2.8374892519346672E-2</c:v>
                </c:pt>
                <c:pt idx="5">
                  <c:v>2.8374892519346672E-2</c:v>
                </c:pt>
                <c:pt idx="6">
                  <c:v>2.8374892519346672E-2</c:v>
                </c:pt>
                <c:pt idx="7">
                  <c:v>2.8374892519346672E-2</c:v>
                </c:pt>
                <c:pt idx="8">
                  <c:v>2.8374892519346672E-2</c:v>
                </c:pt>
                <c:pt idx="9">
                  <c:v>2.8374892519346672E-2</c:v>
                </c:pt>
                <c:pt idx="10">
                  <c:v>2.8374892519346672E-2</c:v>
                </c:pt>
                <c:pt idx="11">
                  <c:v>2.8374892519346672E-2</c:v>
                </c:pt>
                <c:pt idx="12">
                  <c:v>2.8374892519346672E-2</c:v>
                </c:pt>
                <c:pt idx="13">
                  <c:v>2.8374892519346672E-2</c:v>
                </c:pt>
                <c:pt idx="14">
                  <c:v>2.8374892519346672E-2</c:v>
                </c:pt>
                <c:pt idx="15">
                  <c:v>2.8374892519346672E-2</c:v>
                </c:pt>
                <c:pt idx="16">
                  <c:v>2.8374892519346672E-2</c:v>
                </c:pt>
                <c:pt idx="17">
                  <c:v>2.8374892519346672E-2</c:v>
                </c:pt>
                <c:pt idx="18">
                  <c:v>2.8374892519346672E-2</c:v>
                </c:pt>
                <c:pt idx="19">
                  <c:v>2.8374892519346672E-2</c:v>
                </c:pt>
                <c:pt idx="20">
                  <c:v>2.8374892519346672E-2</c:v>
                </c:pt>
                <c:pt idx="21">
                  <c:v>2.8374892519346672E-2</c:v>
                </c:pt>
                <c:pt idx="22">
                  <c:v>2.8374892519346672E-2</c:v>
                </c:pt>
                <c:pt idx="23">
                  <c:v>2.8374892519346672E-2</c:v>
                </c:pt>
                <c:pt idx="24">
                  <c:v>2.8374892519346672E-2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47-4280-8E57-B043DDA72A6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sheet1!$C$43:$AA$43</c:f>
              <c:numCache>
                <c:formatCode>0.000</c:formatCode>
                <c:ptCount val="25"/>
                <c:pt idx="0">
                  <c:v>4.2562338779020006E-2</c:v>
                </c:pt>
                <c:pt idx="1">
                  <c:v>4.2562338779020006E-2</c:v>
                </c:pt>
                <c:pt idx="2">
                  <c:v>4.2562338779020006E-2</c:v>
                </c:pt>
                <c:pt idx="3">
                  <c:v>4.2562338779020006E-2</c:v>
                </c:pt>
                <c:pt idx="4">
                  <c:v>4.2562338779020006E-2</c:v>
                </c:pt>
                <c:pt idx="5">
                  <c:v>4.2562338779020006E-2</c:v>
                </c:pt>
                <c:pt idx="6">
                  <c:v>4.2562338779020006E-2</c:v>
                </c:pt>
                <c:pt idx="7">
                  <c:v>4.2562338779020006E-2</c:v>
                </c:pt>
                <c:pt idx="8">
                  <c:v>4.2562338779020006E-2</c:v>
                </c:pt>
                <c:pt idx="9">
                  <c:v>4.2562338779020006E-2</c:v>
                </c:pt>
                <c:pt idx="10">
                  <c:v>4.2562338779020006E-2</c:v>
                </c:pt>
                <c:pt idx="11">
                  <c:v>4.2562338779020006E-2</c:v>
                </c:pt>
                <c:pt idx="12">
                  <c:v>4.2562338779020006E-2</c:v>
                </c:pt>
                <c:pt idx="13">
                  <c:v>4.2562338779020006E-2</c:v>
                </c:pt>
                <c:pt idx="14">
                  <c:v>4.2562338779020006E-2</c:v>
                </c:pt>
                <c:pt idx="15">
                  <c:v>4.2562338779020006E-2</c:v>
                </c:pt>
                <c:pt idx="16">
                  <c:v>4.2562338779020006E-2</c:v>
                </c:pt>
                <c:pt idx="17">
                  <c:v>4.2562338779020006E-2</c:v>
                </c:pt>
                <c:pt idx="18">
                  <c:v>4.2562338779020006E-2</c:v>
                </c:pt>
                <c:pt idx="19">
                  <c:v>4.2562338779020006E-2</c:v>
                </c:pt>
                <c:pt idx="20">
                  <c:v>4.2562338779020006E-2</c:v>
                </c:pt>
                <c:pt idx="21">
                  <c:v>4.2562338779020006E-2</c:v>
                </c:pt>
                <c:pt idx="22">
                  <c:v>4.2562338779020006E-2</c:v>
                </c:pt>
                <c:pt idx="23">
                  <c:v>4.2562338779020006E-2</c:v>
                </c:pt>
                <c:pt idx="24">
                  <c:v>4.2562338779020006E-2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47-4280-8E57-B043DDA72A6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sheet1!$C$44:$AA$44</c:f>
              <c:numCache>
                <c:formatCode>0.000</c:formatCode>
                <c:ptCount val="25"/>
                <c:pt idx="0">
                  <c:v>-1.4187446259673336E-2</c:v>
                </c:pt>
                <c:pt idx="1">
                  <c:v>-1.4187446259673336E-2</c:v>
                </c:pt>
                <c:pt idx="2">
                  <c:v>-1.4187446259673336E-2</c:v>
                </c:pt>
                <c:pt idx="3">
                  <c:v>-1.4187446259673336E-2</c:v>
                </c:pt>
                <c:pt idx="4">
                  <c:v>-1.4187446259673336E-2</c:v>
                </c:pt>
                <c:pt idx="5">
                  <c:v>-1.4187446259673336E-2</c:v>
                </c:pt>
                <c:pt idx="6">
                  <c:v>-1.4187446259673336E-2</c:v>
                </c:pt>
                <c:pt idx="7">
                  <c:v>-1.4187446259673336E-2</c:v>
                </c:pt>
                <c:pt idx="8">
                  <c:v>-1.4187446259673336E-2</c:v>
                </c:pt>
                <c:pt idx="9">
                  <c:v>-1.4187446259673336E-2</c:v>
                </c:pt>
                <c:pt idx="10">
                  <c:v>-1.4187446259673336E-2</c:v>
                </c:pt>
                <c:pt idx="11">
                  <c:v>-1.4187446259673336E-2</c:v>
                </c:pt>
                <c:pt idx="12">
                  <c:v>-1.4187446259673336E-2</c:v>
                </c:pt>
                <c:pt idx="13">
                  <c:v>-1.4187446259673336E-2</c:v>
                </c:pt>
                <c:pt idx="14">
                  <c:v>-1.4187446259673336E-2</c:v>
                </c:pt>
                <c:pt idx="15">
                  <c:v>-1.4187446259673336E-2</c:v>
                </c:pt>
                <c:pt idx="16">
                  <c:v>-1.4187446259673336E-2</c:v>
                </c:pt>
                <c:pt idx="17">
                  <c:v>-1.4187446259673336E-2</c:v>
                </c:pt>
                <c:pt idx="18">
                  <c:v>-1.4187446259673336E-2</c:v>
                </c:pt>
                <c:pt idx="19">
                  <c:v>-1.4187446259673336E-2</c:v>
                </c:pt>
                <c:pt idx="20">
                  <c:v>-1.4187446259673336E-2</c:v>
                </c:pt>
                <c:pt idx="21">
                  <c:v>-1.4187446259673336E-2</c:v>
                </c:pt>
                <c:pt idx="22">
                  <c:v>-1.4187446259673336E-2</c:v>
                </c:pt>
                <c:pt idx="23">
                  <c:v>-1.4187446259673336E-2</c:v>
                </c:pt>
                <c:pt idx="24">
                  <c:v>-1.4187446259673336E-2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47-4280-8E57-B043DDA72A6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sheet1!$C$45:$AA$45</c:f>
              <c:numCache>
                <c:formatCode>0.000</c:formatCode>
                <c:ptCount val="25"/>
                <c:pt idx="0">
                  <c:v>-2.8374892519346672E-2</c:v>
                </c:pt>
                <c:pt idx="1">
                  <c:v>-2.8374892519346672E-2</c:v>
                </c:pt>
                <c:pt idx="2">
                  <c:v>-2.8374892519346672E-2</c:v>
                </c:pt>
                <c:pt idx="3">
                  <c:v>-2.8374892519346672E-2</c:v>
                </c:pt>
                <c:pt idx="4">
                  <c:v>-2.8374892519346672E-2</c:v>
                </c:pt>
                <c:pt idx="5">
                  <c:v>-2.8374892519346672E-2</c:v>
                </c:pt>
                <c:pt idx="6">
                  <c:v>-2.8374892519346672E-2</c:v>
                </c:pt>
                <c:pt idx="7">
                  <c:v>-2.8374892519346672E-2</c:v>
                </c:pt>
                <c:pt idx="8">
                  <c:v>-2.8374892519346672E-2</c:v>
                </c:pt>
                <c:pt idx="9">
                  <c:v>-2.8374892519346672E-2</c:v>
                </c:pt>
                <c:pt idx="10">
                  <c:v>-2.8374892519346672E-2</c:v>
                </c:pt>
                <c:pt idx="11">
                  <c:v>-2.8374892519346672E-2</c:v>
                </c:pt>
                <c:pt idx="12">
                  <c:v>-2.8374892519346672E-2</c:v>
                </c:pt>
                <c:pt idx="13">
                  <c:v>-2.8374892519346672E-2</c:v>
                </c:pt>
                <c:pt idx="14">
                  <c:v>-2.8374892519346672E-2</c:v>
                </c:pt>
                <c:pt idx="15">
                  <c:v>-2.8374892519346672E-2</c:v>
                </c:pt>
                <c:pt idx="16">
                  <c:v>-2.8374892519346672E-2</c:v>
                </c:pt>
                <c:pt idx="17">
                  <c:v>-2.8374892519346672E-2</c:v>
                </c:pt>
                <c:pt idx="18">
                  <c:v>-2.8374892519346672E-2</c:v>
                </c:pt>
                <c:pt idx="19">
                  <c:v>-2.8374892519346672E-2</c:v>
                </c:pt>
                <c:pt idx="20">
                  <c:v>-2.8374892519346672E-2</c:v>
                </c:pt>
                <c:pt idx="21">
                  <c:v>-2.8374892519346672E-2</c:v>
                </c:pt>
                <c:pt idx="22">
                  <c:v>-2.8374892519346672E-2</c:v>
                </c:pt>
                <c:pt idx="23">
                  <c:v>-2.8374892519346672E-2</c:v>
                </c:pt>
                <c:pt idx="24">
                  <c:v>-2.8374892519346672E-2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47-4280-8E57-B043DDA72A6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sheet1!$C$46:$AA$46</c:f>
              <c:numCache>
                <c:formatCode>0.000</c:formatCode>
                <c:ptCount val="25"/>
                <c:pt idx="0">
                  <c:v>-4.2562338779020006E-2</c:v>
                </c:pt>
                <c:pt idx="1">
                  <c:v>-4.2562338779020006E-2</c:v>
                </c:pt>
                <c:pt idx="2">
                  <c:v>-4.2562338779020006E-2</c:v>
                </c:pt>
                <c:pt idx="3">
                  <c:v>-4.2562338779020006E-2</c:v>
                </c:pt>
                <c:pt idx="4">
                  <c:v>-4.2562338779020006E-2</c:v>
                </c:pt>
                <c:pt idx="5">
                  <c:v>-4.2562338779020006E-2</c:v>
                </c:pt>
                <c:pt idx="6">
                  <c:v>-4.2562338779020006E-2</c:v>
                </c:pt>
                <c:pt idx="7">
                  <c:v>-4.2562338779020006E-2</c:v>
                </c:pt>
                <c:pt idx="8">
                  <c:v>-4.2562338779020006E-2</c:v>
                </c:pt>
                <c:pt idx="9">
                  <c:v>-4.2562338779020006E-2</c:v>
                </c:pt>
                <c:pt idx="10">
                  <c:v>-4.2562338779020006E-2</c:v>
                </c:pt>
                <c:pt idx="11">
                  <c:v>-4.2562338779020006E-2</c:v>
                </c:pt>
                <c:pt idx="12">
                  <c:v>-4.2562338779020006E-2</c:v>
                </c:pt>
                <c:pt idx="13">
                  <c:v>-4.2562338779020006E-2</c:v>
                </c:pt>
                <c:pt idx="14">
                  <c:v>-4.2562338779020006E-2</c:v>
                </c:pt>
                <c:pt idx="15">
                  <c:v>-4.2562338779020006E-2</c:v>
                </c:pt>
                <c:pt idx="16">
                  <c:v>-4.2562338779020006E-2</c:v>
                </c:pt>
                <c:pt idx="17">
                  <c:v>-4.2562338779020006E-2</c:v>
                </c:pt>
                <c:pt idx="18">
                  <c:v>-4.2562338779020006E-2</c:v>
                </c:pt>
                <c:pt idx="19">
                  <c:v>-4.2562338779020006E-2</c:v>
                </c:pt>
                <c:pt idx="20">
                  <c:v>-4.2562338779020006E-2</c:v>
                </c:pt>
                <c:pt idx="21">
                  <c:v>-4.2562338779020006E-2</c:v>
                </c:pt>
                <c:pt idx="22">
                  <c:v>-4.2562338779020006E-2</c:v>
                </c:pt>
                <c:pt idx="23">
                  <c:v>-4.2562338779020006E-2</c:v>
                </c:pt>
                <c:pt idx="24">
                  <c:v>-4.2562338779020006E-2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47-4280-8E57-B043DDA72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0912"/>
        <c:axId val="1"/>
      </c:lineChart>
      <c:catAx>
        <c:axId val="11160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4.32"/>
          <c:min val="14.18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</c:spPr>
        </c:majorGridlines>
        <c:minorGridlines/>
        <c:numFmt formatCode="0.000_ 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1160912"/>
        <c:crosses val="autoZero"/>
        <c:crossBetween val="between"/>
      </c:valAx>
      <c:spPr>
        <a:solidFill>
          <a:schemeClr val="bg2">
            <a:lumMod val="90000"/>
          </a:schemeClr>
        </a:solidFill>
        <a:ln w="3175">
          <a:solidFill>
            <a:srgbClr val="000000">
              <a:alpha val="96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CC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30783608466199E-2"/>
          <c:y val="0.14898813533063418"/>
          <c:w val="0.96709229769222105"/>
          <c:h val="0.75263351314122395"/>
        </c:manualLayout>
      </c:layout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tx1"/>
              </a:solidFill>
              <a:ln w="6350" cap="flat" cmpd="sng" algn="ctr">
                <a:solidFill>
                  <a:schemeClr val="tx1">
                    <a:alpha val="99000"/>
                  </a:schemeClr>
                </a:solidFill>
                <a:prstDash val="solid"/>
                <a:round/>
              </a:ln>
            </c:spPr>
          </c:marker>
          <c:val>
            <c:numRef>
              <c:f>sheet1!$C$38:$AA$38</c:f>
              <c:numCache>
                <c:formatCode>0.000;[Red]0.000</c:formatCode>
                <c:ptCount val="25"/>
                <c:pt idx="0">
                  <c:v>1.5000000000000568E-2</c:v>
                </c:pt>
                <c:pt idx="1">
                  <c:v>3.3000000000001251E-2</c:v>
                </c:pt>
                <c:pt idx="2">
                  <c:v>3.399999999999892E-2</c:v>
                </c:pt>
                <c:pt idx="3">
                  <c:v>2.5999999999999801E-2</c:v>
                </c:pt>
                <c:pt idx="4">
                  <c:v>2.5999999999999801E-2</c:v>
                </c:pt>
                <c:pt idx="5">
                  <c:v>2.7000000000001023E-2</c:v>
                </c:pt>
                <c:pt idx="6">
                  <c:v>3.2000000000000028E-2</c:v>
                </c:pt>
                <c:pt idx="7">
                  <c:v>1.0999999999999233E-2</c:v>
                </c:pt>
                <c:pt idx="8">
                  <c:v>1.9000000000000128E-2</c:v>
                </c:pt>
                <c:pt idx="9">
                  <c:v>4.1000000000000369E-2</c:v>
                </c:pt>
                <c:pt idx="10">
                  <c:v>4.8000000000000043E-2</c:v>
                </c:pt>
                <c:pt idx="11">
                  <c:v>5.0000000000000711E-2</c:v>
                </c:pt>
                <c:pt idx="12">
                  <c:v>2.8999999999999915E-2</c:v>
                </c:pt>
                <c:pt idx="13">
                  <c:v>5.0000000000000711E-2</c:v>
                </c:pt>
                <c:pt idx="14">
                  <c:v>4.3000000000001037E-2</c:v>
                </c:pt>
                <c:pt idx="15">
                  <c:v>3.8000000000000256E-2</c:v>
                </c:pt>
                <c:pt idx="16">
                  <c:v>3.5999999999999588E-2</c:v>
                </c:pt>
                <c:pt idx="17">
                  <c:v>3.4000000000000696E-2</c:v>
                </c:pt>
                <c:pt idx="18">
                  <c:v>2.4000000000000909E-2</c:v>
                </c:pt>
                <c:pt idx="19">
                  <c:v>2.6999999999999247E-2</c:v>
                </c:pt>
                <c:pt idx="20">
                  <c:v>3.5000000000000142E-2</c:v>
                </c:pt>
                <c:pt idx="21">
                  <c:v>3.2999999999999474E-2</c:v>
                </c:pt>
                <c:pt idx="22">
                  <c:v>3.5999999999999588E-2</c:v>
                </c:pt>
                <c:pt idx="23">
                  <c:v>2.7000000000001023E-2</c:v>
                </c:pt>
                <c:pt idx="24">
                  <c:v>5.1000000000000156E-2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8-43FE-AEAA-C5D21BA025C9}"/>
            </c:ext>
          </c:extLst>
        </c:ser>
        <c:ser>
          <c:idx val="2"/>
          <c:order val="1"/>
          <c:spPr>
            <a:ln w="1905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sheet1!$C$47:$AA$47</c:f>
              <c:numCache>
                <c:formatCode>0.000;[Red]0.000</c:formatCode>
                <c:ptCount val="25"/>
                <c:pt idx="0">
                  <c:v>3.3000000000000182E-2</c:v>
                </c:pt>
                <c:pt idx="1">
                  <c:v>3.3000000000000182E-2</c:v>
                </c:pt>
                <c:pt idx="2">
                  <c:v>3.3000000000000182E-2</c:v>
                </c:pt>
                <c:pt idx="3">
                  <c:v>3.3000000000000182E-2</c:v>
                </c:pt>
                <c:pt idx="4">
                  <c:v>3.3000000000000182E-2</c:v>
                </c:pt>
                <c:pt idx="5">
                  <c:v>3.3000000000000182E-2</c:v>
                </c:pt>
                <c:pt idx="6">
                  <c:v>3.3000000000000182E-2</c:v>
                </c:pt>
                <c:pt idx="7">
                  <c:v>3.3000000000000182E-2</c:v>
                </c:pt>
                <c:pt idx="8">
                  <c:v>3.3000000000000182E-2</c:v>
                </c:pt>
                <c:pt idx="9">
                  <c:v>3.3000000000000182E-2</c:v>
                </c:pt>
                <c:pt idx="10">
                  <c:v>3.3000000000000182E-2</c:v>
                </c:pt>
                <c:pt idx="11">
                  <c:v>3.3000000000000182E-2</c:v>
                </c:pt>
                <c:pt idx="12">
                  <c:v>3.3000000000000182E-2</c:v>
                </c:pt>
                <c:pt idx="13">
                  <c:v>3.3000000000000182E-2</c:v>
                </c:pt>
                <c:pt idx="14">
                  <c:v>3.3000000000000182E-2</c:v>
                </c:pt>
                <c:pt idx="15">
                  <c:v>3.3000000000000182E-2</c:v>
                </c:pt>
                <c:pt idx="16">
                  <c:v>3.3000000000000182E-2</c:v>
                </c:pt>
                <c:pt idx="17">
                  <c:v>3.3000000000000182E-2</c:v>
                </c:pt>
                <c:pt idx="18">
                  <c:v>3.3000000000000182E-2</c:v>
                </c:pt>
                <c:pt idx="19">
                  <c:v>3.3000000000000182E-2</c:v>
                </c:pt>
                <c:pt idx="20">
                  <c:v>3.3000000000000182E-2</c:v>
                </c:pt>
                <c:pt idx="21" formatCode="0.0000;[Red]0.0000">
                  <c:v>3.3000000000000182E-2</c:v>
                </c:pt>
                <c:pt idx="22" formatCode="0.0000;[Red]0.0000">
                  <c:v>3.3000000000000182E-2</c:v>
                </c:pt>
                <c:pt idx="23" formatCode="0.0000;[Red]0.0000">
                  <c:v>3.3000000000000182E-2</c:v>
                </c:pt>
                <c:pt idx="24" formatCode="0.0000;[Red]0.0000">
                  <c:v>3.3000000000000182E-2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E8-43FE-AEAA-C5D21BA025C9}"/>
            </c:ext>
          </c:extLst>
        </c:ser>
        <c:ser>
          <c:idx val="1"/>
          <c:order val="2"/>
          <c:spPr>
            <a:ln w="19050" cap="rnd" cmpd="sng" algn="ctr">
              <a:solidFill>
                <a:schemeClr val="tx1"/>
              </a:solidFill>
              <a:prstDash val="lgDash"/>
              <a:round/>
            </a:ln>
          </c:spPr>
          <c:marker>
            <c:symbol val="square"/>
            <c:size val="5"/>
            <c:spPr>
              <a:noFill/>
              <a:ln w="6350" cap="flat" cmpd="sng" algn="ctr">
                <a:noFill/>
                <a:prstDash val="solid"/>
                <a:round/>
              </a:ln>
            </c:spPr>
          </c:marker>
          <c:val>
            <c:numRef>
              <c:f>sheet1!$C$48:$AA$48</c:f>
              <c:numCache>
                <c:formatCode>0.000;[Red]0.000</c:formatCode>
                <c:ptCount val="25"/>
                <c:pt idx="0">
                  <c:v>6.9630000000000386E-2</c:v>
                </c:pt>
                <c:pt idx="1">
                  <c:v>6.9630000000000386E-2</c:v>
                </c:pt>
                <c:pt idx="2">
                  <c:v>6.9630000000000386E-2</c:v>
                </c:pt>
                <c:pt idx="3">
                  <c:v>6.9630000000000386E-2</c:v>
                </c:pt>
                <c:pt idx="4">
                  <c:v>6.9630000000000386E-2</c:v>
                </c:pt>
                <c:pt idx="5">
                  <c:v>6.9630000000000386E-2</c:v>
                </c:pt>
                <c:pt idx="6">
                  <c:v>6.9630000000000386E-2</c:v>
                </c:pt>
                <c:pt idx="7">
                  <c:v>6.9630000000000386E-2</c:v>
                </c:pt>
                <c:pt idx="8">
                  <c:v>6.9630000000000386E-2</c:v>
                </c:pt>
                <c:pt idx="9">
                  <c:v>6.9630000000000386E-2</c:v>
                </c:pt>
                <c:pt idx="10">
                  <c:v>6.9630000000000386E-2</c:v>
                </c:pt>
                <c:pt idx="11">
                  <c:v>6.9630000000000386E-2</c:v>
                </c:pt>
                <c:pt idx="12">
                  <c:v>6.9630000000000386E-2</c:v>
                </c:pt>
                <c:pt idx="13">
                  <c:v>6.9630000000000386E-2</c:v>
                </c:pt>
                <c:pt idx="14">
                  <c:v>6.9630000000000386E-2</c:v>
                </c:pt>
                <c:pt idx="15">
                  <c:v>6.9630000000000386E-2</c:v>
                </c:pt>
                <c:pt idx="16">
                  <c:v>6.9630000000000386E-2</c:v>
                </c:pt>
                <c:pt idx="17">
                  <c:v>6.9630000000000386E-2</c:v>
                </c:pt>
                <c:pt idx="18">
                  <c:v>6.9630000000000386E-2</c:v>
                </c:pt>
                <c:pt idx="19">
                  <c:v>6.9630000000000386E-2</c:v>
                </c:pt>
                <c:pt idx="20">
                  <c:v>6.9630000000000386E-2</c:v>
                </c:pt>
                <c:pt idx="21" formatCode="0.0000;[Red]0.0000">
                  <c:v>6.9630000000000386E-2</c:v>
                </c:pt>
                <c:pt idx="22" formatCode="0.0000;[Red]0.0000">
                  <c:v>6.9630000000000386E-2</c:v>
                </c:pt>
                <c:pt idx="23" formatCode="0.0000;[Red]0.0000">
                  <c:v>6.9630000000000386E-2</c:v>
                </c:pt>
                <c:pt idx="24" formatCode="0.0000;[Red]0.0000">
                  <c:v>6.9630000000000386E-2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E8-43FE-AEAA-C5D21BA025C9}"/>
            </c:ext>
          </c:extLst>
        </c:ser>
        <c:ser>
          <c:idx val="3"/>
          <c:order val="3"/>
          <c:spPr>
            <a:ln w="19050" cap="rnd" cmpd="sng" algn="ctr">
              <a:solidFill>
                <a:schemeClr val="tx1"/>
              </a:solidFill>
              <a:prstDash val="dash"/>
              <a:round/>
            </a:ln>
          </c:spPr>
          <c:marker>
            <c:symbol val="none"/>
          </c:marker>
          <c:val>
            <c:numRef>
              <c:f>sheet1!$C$49:$AA$49</c:f>
              <c:numCache>
                <c:formatCode>0.000;[Red]0.000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.0000;[Red]0.0000">
                  <c:v>0</c:v>
                </c:pt>
                <c:pt idx="22" formatCode="0.0000;[Red]0.0000">
                  <c:v>0</c:v>
                </c:pt>
                <c:pt idx="23" formatCode="0.0000;[Red]0.0000">
                  <c:v>0</c:v>
                </c:pt>
                <c:pt idx="24" formatCode="0.0000;[Red]0.0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E8-43FE-AEAA-C5D21BA02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93120"/>
        <c:axId val="1"/>
      </c:lineChart>
      <c:catAx>
        <c:axId val="1955693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C99FF"/>
              </a:solidFill>
              <a:prstDash val="solid"/>
              <a:round/>
            </a:ln>
          </c:spPr>
        </c:majorGridlines>
        <c:numFmt formatCode="0.00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55693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CC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266700</xdr:colOff>
      <xdr:row>28</xdr:row>
      <xdr:rowOff>76200</xdr:rowOff>
    </xdr:from>
    <xdr:to>
      <xdr:col>27</xdr:col>
      <xdr:colOff>504825</xdr:colOff>
      <xdr:row>29</xdr:row>
      <xdr:rowOff>47625</xdr:rowOff>
    </xdr:to>
    <xdr:sp macro="" textlink="">
      <xdr:nvSpPr>
        <xdr:cNvPr id="6038600" name="Rectangle 1">
          <a:extLst>
            <a:ext uri="{FF2B5EF4-FFF2-40B4-BE49-F238E27FC236}">
              <a16:creationId xmlns:a16="http://schemas.microsoft.com/office/drawing/2014/main" id="{00000000-0008-0000-0000-000048245C00}"/>
            </a:ext>
          </a:extLst>
        </xdr:cNvPr>
        <xdr:cNvSpPr>
          <a:spLocks noChangeArrowheads="1"/>
        </xdr:cNvSpPr>
      </xdr:nvSpPr>
      <xdr:spPr bwMode="auto">
        <a:xfrm>
          <a:off x="14135100" y="5295900"/>
          <a:ext cx="19050" cy="857250"/>
        </a:xfrm>
        <a:prstGeom prst="rect">
          <a:avLst/>
        </a:prstGeom>
        <a:solidFill>
          <a:srgbClr val="FFFFFF">
            <a:alpha val="50195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295275</xdr:colOff>
      <xdr:row>26</xdr:row>
      <xdr:rowOff>28575</xdr:rowOff>
    </xdr:from>
    <xdr:to>
      <xdr:col>24</xdr:col>
      <xdr:colOff>352425</xdr:colOff>
      <xdr:row>26</xdr:row>
      <xdr:rowOff>28575</xdr:rowOff>
    </xdr:to>
    <xdr:sp macro="" textlink="">
      <xdr:nvSpPr>
        <xdr:cNvPr id="6038601" name="Line 2">
          <a:extLst>
            <a:ext uri="{FF2B5EF4-FFF2-40B4-BE49-F238E27FC236}">
              <a16:creationId xmlns:a16="http://schemas.microsoft.com/office/drawing/2014/main" id="{00000000-0008-0000-0000-000049245C00}"/>
            </a:ext>
          </a:extLst>
        </xdr:cNvPr>
        <xdr:cNvSpPr>
          <a:spLocks noChangeShapeType="1"/>
        </xdr:cNvSpPr>
      </xdr:nvSpPr>
      <xdr:spPr bwMode="auto">
        <a:xfrm>
          <a:off x="12592050" y="480060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76200</xdr:colOff>
      <xdr:row>26</xdr:row>
      <xdr:rowOff>28575</xdr:rowOff>
    </xdr:from>
    <xdr:to>
      <xdr:col>25</xdr:col>
      <xdr:colOff>133350</xdr:colOff>
      <xdr:row>26</xdr:row>
      <xdr:rowOff>28575</xdr:rowOff>
    </xdr:to>
    <xdr:sp macro="" textlink="">
      <xdr:nvSpPr>
        <xdr:cNvPr id="6038602" name="Line 3">
          <a:extLst>
            <a:ext uri="{FF2B5EF4-FFF2-40B4-BE49-F238E27FC236}">
              <a16:creationId xmlns:a16="http://schemas.microsoft.com/office/drawing/2014/main" id="{00000000-0008-0000-0000-00004A245C00}"/>
            </a:ext>
          </a:extLst>
        </xdr:cNvPr>
        <xdr:cNvSpPr>
          <a:spLocks noChangeShapeType="1"/>
        </xdr:cNvSpPr>
      </xdr:nvSpPr>
      <xdr:spPr bwMode="auto">
        <a:xfrm>
          <a:off x="12896850" y="480060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295275</xdr:colOff>
      <xdr:row>26</xdr:row>
      <xdr:rowOff>9525</xdr:rowOff>
    </xdr:from>
    <xdr:to>
      <xdr:col>24</xdr:col>
      <xdr:colOff>352425</xdr:colOff>
      <xdr:row>26</xdr:row>
      <xdr:rowOff>9525</xdr:rowOff>
    </xdr:to>
    <xdr:sp macro="" textlink="">
      <xdr:nvSpPr>
        <xdr:cNvPr id="6038603" name="Line 4">
          <a:extLst>
            <a:ext uri="{FF2B5EF4-FFF2-40B4-BE49-F238E27FC236}">
              <a16:creationId xmlns:a16="http://schemas.microsoft.com/office/drawing/2014/main" id="{00000000-0008-0000-0000-00004B245C00}"/>
            </a:ext>
          </a:extLst>
        </xdr:cNvPr>
        <xdr:cNvSpPr>
          <a:spLocks noChangeShapeType="1"/>
        </xdr:cNvSpPr>
      </xdr:nvSpPr>
      <xdr:spPr bwMode="auto">
        <a:xfrm>
          <a:off x="12592050" y="478155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76200</xdr:colOff>
      <xdr:row>26</xdr:row>
      <xdr:rowOff>9525</xdr:rowOff>
    </xdr:from>
    <xdr:to>
      <xdr:col>25</xdr:col>
      <xdr:colOff>133350</xdr:colOff>
      <xdr:row>26</xdr:row>
      <xdr:rowOff>9525</xdr:rowOff>
    </xdr:to>
    <xdr:sp macro="" textlink="">
      <xdr:nvSpPr>
        <xdr:cNvPr id="6038604" name="Line 5">
          <a:extLst>
            <a:ext uri="{FF2B5EF4-FFF2-40B4-BE49-F238E27FC236}">
              <a16:creationId xmlns:a16="http://schemas.microsoft.com/office/drawing/2014/main" id="{00000000-0008-0000-0000-00004C245C00}"/>
            </a:ext>
          </a:extLst>
        </xdr:cNvPr>
        <xdr:cNvSpPr>
          <a:spLocks noChangeShapeType="1"/>
        </xdr:cNvSpPr>
      </xdr:nvSpPr>
      <xdr:spPr bwMode="auto">
        <a:xfrm>
          <a:off x="12896850" y="478155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16</xdr:row>
      <xdr:rowOff>28575</xdr:rowOff>
    </xdr:from>
    <xdr:to>
      <xdr:col>2</xdr:col>
      <xdr:colOff>85725</xdr:colOff>
      <xdr:row>16</xdr:row>
      <xdr:rowOff>28575</xdr:rowOff>
    </xdr:to>
    <xdr:sp macro="" textlink="">
      <xdr:nvSpPr>
        <xdr:cNvPr id="6038605" name="Line 8">
          <a:extLst>
            <a:ext uri="{FF2B5EF4-FFF2-40B4-BE49-F238E27FC236}">
              <a16:creationId xmlns:a16="http://schemas.microsoft.com/office/drawing/2014/main" id="{00000000-0008-0000-0000-00004D245C00}"/>
            </a:ext>
          </a:extLst>
        </xdr:cNvPr>
        <xdr:cNvSpPr>
          <a:spLocks noChangeShapeType="1"/>
        </xdr:cNvSpPr>
      </xdr:nvSpPr>
      <xdr:spPr bwMode="auto">
        <a:xfrm>
          <a:off x="771525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247650</xdr:colOff>
      <xdr:row>16</xdr:row>
      <xdr:rowOff>28575</xdr:rowOff>
    </xdr:from>
    <xdr:to>
      <xdr:col>10</xdr:col>
      <xdr:colOff>333375</xdr:colOff>
      <xdr:row>16</xdr:row>
      <xdr:rowOff>28575</xdr:rowOff>
    </xdr:to>
    <xdr:sp macro="" textlink="">
      <xdr:nvSpPr>
        <xdr:cNvPr id="6038606" name="Line 9">
          <a:extLst>
            <a:ext uri="{FF2B5EF4-FFF2-40B4-BE49-F238E27FC236}">
              <a16:creationId xmlns:a16="http://schemas.microsoft.com/office/drawing/2014/main" id="{00000000-0008-0000-0000-00004E245C00}"/>
            </a:ext>
          </a:extLst>
        </xdr:cNvPr>
        <xdr:cNvSpPr>
          <a:spLocks noChangeShapeType="1"/>
        </xdr:cNvSpPr>
      </xdr:nvSpPr>
      <xdr:spPr bwMode="auto">
        <a:xfrm>
          <a:off x="5210175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247650</xdr:colOff>
      <xdr:row>16</xdr:row>
      <xdr:rowOff>28575</xdr:rowOff>
    </xdr:from>
    <xdr:to>
      <xdr:col>19</xdr:col>
      <xdr:colOff>333375</xdr:colOff>
      <xdr:row>16</xdr:row>
      <xdr:rowOff>28575</xdr:rowOff>
    </xdr:to>
    <xdr:sp macro="" textlink="">
      <xdr:nvSpPr>
        <xdr:cNvPr id="6038607" name="Line 10">
          <a:extLst>
            <a:ext uri="{FF2B5EF4-FFF2-40B4-BE49-F238E27FC236}">
              <a16:creationId xmlns:a16="http://schemas.microsoft.com/office/drawing/2014/main" id="{00000000-0008-0000-0000-00004F245C00}"/>
            </a:ext>
          </a:extLst>
        </xdr:cNvPr>
        <xdr:cNvSpPr>
          <a:spLocks noChangeShapeType="1"/>
        </xdr:cNvSpPr>
      </xdr:nvSpPr>
      <xdr:spPr bwMode="auto">
        <a:xfrm>
          <a:off x="9925050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36</xdr:row>
      <xdr:rowOff>28575</xdr:rowOff>
    </xdr:from>
    <xdr:to>
      <xdr:col>1</xdr:col>
      <xdr:colOff>333375</xdr:colOff>
      <xdr:row>36</xdr:row>
      <xdr:rowOff>28575</xdr:rowOff>
    </xdr:to>
    <xdr:sp macro="" textlink="">
      <xdr:nvSpPr>
        <xdr:cNvPr id="6038608" name="Line 22">
          <a:extLst>
            <a:ext uri="{FF2B5EF4-FFF2-40B4-BE49-F238E27FC236}">
              <a16:creationId xmlns:a16="http://schemas.microsoft.com/office/drawing/2014/main" id="{00000000-0008-0000-0000-000050245C00}"/>
            </a:ext>
          </a:extLst>
        </xdr:cNvPr>
        <xdr:cNvSpPr>
          <a:spLocks noChangeShapeType="1"/>
        </xdr:cNvSpPr>
      </xdr:nvSpPr>
      <xdr:spPr bwMode="auto">
        <a:xfrm>
          <a:off x="533400" y="8001000"/>
          <a:ext cx="66675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266700</xdr:colOff>
      <xdr:row>28</xdr:row>
      <xdr:rowOff>76200</xdr:rowOff>
    </xdr:from>
    <xdr:to>
      <xdr:col>27</xdr:col>
      <xdr:colOff>504825</xdr:colOff>
      <xdr:row>29</xdr:row>
      <xdr:rowOff>47625</xdr:rowOff>
    </xdr:to>
    <xdr:sp macro="" textlink="">
      <xdr:nvSpPr>
        <xdr:cNvPr id="6038609" name="Rectangle 1">
          <a:extLst>
            <a:ext uri="{FF2B5EF4-FFF2-40B4-BE49-F238E27FC236}">
              <a16:creationId xmlns:a16="http://schemas.microsoft.com/office/drawing/2014/main" id="{00000000-0008-0000-0000-000051245C00}"/>
            </a:ext>
          </a:extLst>
        </xdr:cNvPr>
        <xdr:cNvSpPr>
          <a:spLocks noChangeArrowheads="1"/>
        </xdr:cNvSpPr>
      </xdr:nvSpPr>
      <xdr:spPr bwMode="auto">
        <a:xfrm>
          <a:off x="14135100" y="5295900"/>
          <a:ext cx="19050" cy="857250"/>
        </a:xfrm>
        <a:prstGeom prst="rect">
          <a:avLst/>
        </a:prstGeom>
        <a:solidFill>
          <a:srgbClr val="FFFFFF">
            <a:alpha val="50195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295275</xdr:colOff>
      <xdr:row>26</xdr:row>
      <xdr:rowOff>28575</xdr:rowOff>
    </xdr:from>
    <xdr:to>
      <xdr:col>24</xdr:col>
      <xdr:colOff>352425</xdr:colOff>
      <xdr:row>26</xdr:row>
      <xdr:rowOff>28575</xdr:rowOff>
    </xdr:to>
    <xdr:sp macro="" textlink="">
      <xdr:nvSpPr>
        <xdr:cNvPr id="6038610" name="Line 2">
          <a:extLst>
            <a:ext uri="{FF2B5EF4-FFF2-40B4-BE49-F238E27FC236}">
              <a16:creationId xmlns:a16="http://schemas.microsoft.com/office/drawing/2014/main" id="{00000000-0008-0000-0000-000052245C00}"/>
            </a:ext>
          </a:extLst>
        </xdr:cNvPr>
        <xdr:cNvSpPr>
          <a:spLocks noChangeShapeType="1"/>
        </xdr:cNvSpPr>
      </xdr:nvSpPr>
      <xdr:spPr bwMode="auto">
        <a:xfrm>
          <a:off x="12592050" y="480060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76200</xdr:colOff>
      <xdr:row>26</xdr:row>
      <xdr:rowOff>28575</xdr:rowOff>
    </xdr:from>
    <xdr:to>
      <xdr:col>25</xdr:col>
      <xdr:colOff>133350</xdr:colOff>
      <xdr:row>26</xdr:row>
      <xdr:rowOff>28575</xdr:rowOff>
    </xdr:to>
    <xdr:sp macro="" textlink="">
      <xdr:nvSpPr>
        <xdr:cNvPr id="6038611" name="Line 3">
          <a:extLst>
            <a:ext uri="{FF2B5EF4-FFF2-40B4-BE49-F238E27FC236}">
              <a16:creationId xmlns:a16="http://schemas.microsoft.com/office/drawing/2014/main" id="{00000000-0008-0000-0000-000053245C00}"/>
            </a:ext>
          </a:extLst>
        </xdr:cNvPr>
        <xdr:cNvSpPr>
          <a:spLocks noChangeShapeType="1"/>
        </xdr:cNvSpPr>
      </xdr:nvSpPr>
      <xdr:spPr bwMode="auto">
        <a:xfrm>
          <a:off x="12896850" y="480060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295275</xdr:colOff>
      <xdr:row>26</xdr:row>
      <xdr:rowOff>9525</xdr:rowOff>
    </xdr:from>
    <xdr:to>
      <xdr:col>24</xdr:col>
      <xdr:colOff>352425</xdr:colOff>
      <xdr:row>26</xdr:row>
      <xdr:rowOff>9525</xdr:rowOff>
    </xdr:to>
    <xdr:sp macro="" textlink="">
      <xdr:nvSpPr>
        <xdr:cNvPr id="6038612" name="Line 4">
          <a:extLst>
            <a:ext uri="{FF2B5EF4-FFF2-40B4-BE49-F238E27FC236}">
              <a16:creationId xmlns:a16="http://schemas.microsoft.com/office/drawing/2014/main" id="{00000000-0008-0000-0000-000054245C00}"/>
            </a:ext>
          </a:extLst>
        </xdr:cNvPr>
        <xdr:cNvSpPr>
          <a:spLocks noChangeShapeType="1"/>
        </xdr:cNvSpPr>
      </xdr:nvSpPr>
      <xdr:spPr bwMode="auto">
        <a:xfrm>
          <a:off x="12592050" y="478155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76200</xdr:colOff>
      <xdr:row>26</xdr:row>
      <xdr:rowOff>9525</xdr:rowOff>
    </xdr:from>
    <xdr:to>
      <xdr:col>25</xdr:col>
      <xdr:colOff>133350</xdr:colOff>
      <xdr:row>26</xdr:row>
      <xdr:rowOff>9525</xdr:rowOff>
    </xdr:to>
    <xdr:sp macro="" textlink="">
      <xdr:nvSpPr>
        <xdr:cNvPr id="6038613" name="Line 5">
          <a:extLst>
            <a:ext uri="{FF2B5EF4-FFF2-40B4-BE49-F238E27FC236}">
              <a16:creationId xmlns:a16="http://schemas.microsoft.com/office/drawing/2014/main" id="{00000000-0008-0000-0000-000055245C00}"/>
            </a:ext>
          </a:extLst>
        </xdr:cNvPr>
        <xdr:cNvSpPr>
          <a:spLocks noChangeShapeType="1"/>
        </xdr:cNvSpPr>
      </xdr:nvSpPr>
      <xdr:spPr bwMode="auto">
        <a:xfrm>
          <a:off x="12896850" y="478155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16</xdr:row>
      <xdr:rowOff>28575</xdr:rowOff>
    </xdr:from>
    <xdr:to>
      <xdr:col>2</xdr:col>
      <xdr:colOff>85725</xdr:colOff>
      <xdr:row>16</xdr:row>
      <xdr:rowOff>28575</xdr:rowOff>
    </xdr:to>
    <xdr:sp macro="" textlink="">
      <xdr:nvSpPr>
        <xdr:cNvPr id="6038614" name="Line 8">
          <a:extLst>
            <a:ext uri="{FF2B5EF4-FFF2-40B4-BE49-F238E27FC236}">
              <a16:creationId xmlns:a16="http://schemas.microsoft.com/office/drawing/2014/main" id="{00000000-0008-0000-0000-000056245C00}"/>
            </a:ext>
          </a:extLst>
        </xdr:cNvPr>
        <xdr:cNvSpPr>
          <a:spLocks noChangeShapeType="1"/>
        </xdr:cNvSpPr>
      </xdr:nvSpPr>
      <xdr:spPr bwMode="auto">
        <a:xfrm>
          <a:off x="771525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247650</xdr:colOff>
      <xdr:row>16</xdr:row>
      <xdr:rowOff>28575</xdr:rowOff>
    </xdr:from>
    <xdr:to>
      <xdr:col>10</xdr:col>
      <xdr:colOff>333375</xdr:colOff>
      <xdr:row>16</xdr:row>
      <xdr:rowOff>28575</xdr:rowOff>
    </xdr:to>
    <xdr:sp macro="" textlink="">
      <xdr:nvSpPr>
        <xdr:cNvPr id="6038615" name="Line 9">
          <a:extLst>
            <a:ext uri="{FF2B5EF4-FFF2-40B4-BE49-F238E27FC236}">
              <a16:creationId xmlns:a16="http://schemas.microsoft.com/office/drawing/2014/main" id="{00000000-0008-0000-0000-000057245C00}"/>
            </a:ext>
          </a:extLst>
        </xdr:cNvPr>
        <xdr:cNvSpPr>
          <a:spLocks noChangeShapeType="1"/>
        </xdr:cNvSpPr>
      </xdr:nvSpPr>
      <xdr:spPr bwMode="auto">
        <a:xfrm>
          <a:off x="5210175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247650</xdr:colOff>
      <xdr:row>16</xdr:row>
      <xdr:rowOff>28575</xdr:rowOff>
    </xdr:from>
    <xdr:to>
      <xdr:col>19</xdr:col>
      <xdr:colOff>333375</xdr:colOff>
      <xdr:row>16</xdr:row>
      <xdr:rowOff>28575</xdr:rowOff>
    </xdr:to>
    <xdr:sp macro="" textlink="">
      <xdr:nvSpPr>
        <xdr:cNvPr id="6038616" name="Line 10">
          <a:extLst>
            <a:ext uri="{FF2B5EF4-FFF2-40B4-BE49-F238E27FC236}">
              <a16:creationId xmlns:a16="http://schemas.microsoft.com/office/drawing/2014/main" id="{00000000-0008-0000-0000-000058245C00}"/>
            </a:ext>
          </a:extLst>
        </xdr:cNvPr>
        <xdr:cNvSpPr>
          <a:spLocks noChangeShapeType="1"/>
        </xdr:cNvSpPr>
      </xdr:nvSpPr>
      <xdr:spPr bwMode="auto">
        <a:xfrm>
          <a:off x="9925050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36</xdr:row>
      <xdr:rowOff>28575</xdr:rowOff>
    </xdr:from>
    <xdr:to>
      <xdr:col>1</xdr:col>
      <xdr:colOff>333375</xdr:colOff>
      <xdr:row>36</xdr:row>
      <xdr:rowOff>28575</xdr:rowOff>
    </xdr:to>
    <xdr:sp macro="" textlink="">
      <xdr:nvSpPr>
        <xdr:cNvPr id="6038617" name="Line 22">
          <a:extLst>
            <a:ext uri="{FF2B5EF4-FFF2-40B4-BE49-F238E27FC236}">
              <a16:creationId xmlns:a16="http://schemas.microsoft.com/office/drawing/2014/main" id="{00000000-0008-0000-0000-000059245C00}"/>
            </a:ext>
          </a:extLst>
        </xdr:cNvPr>
        <xdr:cNvSpPr>
          <a:spLocks noChangeShapeType="1"/>
        </xdr:cNvSpPr>
      </xdr:nvSpPr>
      <xdr:spPr bwMode="auto">
        <a:xfrm>
          <a:off x="533400" y="8001000"/>
          <a:ext cx="66675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266700</xdr:colOff>
      <xdr:row>28</xdr:row>
      <xdr:rowOff>76200</xdr:rowOff>
    </xdr:from>
    <xdr:to>
      <xdr:col>27</xdr:col>
      <xdr:colOff>504825</xdr:colOff>
      <xdr:row>29</xdr:row>
      <xdr:rowOff>47625</xdr:rowOff>
    </xdr:to>
    <xdr:sp macro="" textlink="">
      <xdr:nvSpPr>
        <xdr:cNvPr id="6038618" name="Rectangle 1">
          <a:extLst>
            <a:ext uri="{FF2B5EF4-FFF2-40B4-BE49-F238E27FC236}">
              <a16:creationId xmlns:a16="http://schemas.microsoft.com/office/drawing/2014/main" id="{00000000-0008-0000-0000-00005A245C00}"/>
            </a:ext>
          </a:extLst>
        </xdr:cNvPr>
        <xdr:cNvSpPr>
          <a:spLocks noChangeArrowheads="1"/>
        </xdr:cNvSpPr>
      </xdr:nvSpPr>
      <xdr:spPr bwMode="auto">
        <a:xfrm>
          <a:off x="14135100" y="5295900"/>
          <a:ext cx="19050" cy="857250"/>
        </a:xfrm>
        <a:prstGeom prst="rect">
          <a:avLst/>
        </a:prstGeom>
        <a:solidFill>
          <a:srgbClr val="FFFFFF">
            <a:alpha val="50195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295275</xdr:colOff>
      <xdr:row>26</xdr:row>
      <xdr:rowOff>28575</xdr:rowOff>
    </xdr:from>
    <xdr:to>
      <xdr:col>24</xdr:col>
      <xdr:colOff>352425</xdr:colOff>
      <xdr:row>26</xdr:row>
      <xdr:rowOff>28575</xdr:rowOff>
    </xdr:to>
    <xdr:sp macro="" textlink="">
      <xdr:nvSpPr>
        <xdr:cNvPr id="6038619" name="Line 2">
          <a:extLst>
            <a:ext uri="{FF2B5EF4-FFF2-40B4-BE49-F238E27FC236}">
              <a16:creationId xmlns:a16="http://schemas.microsoft.com/office/drawing/2014/main" id="{00000000-0008-0000-0000-00005B245C00}"/>
            </a:ext>
          </a:extLst>
        </xdr:cNvPr>
        <xdr:cNvSpPr>
          <a:spLocks noChangeShapeType="1"/>
        </xdr:cNvSpPr>
      </xdr:nvSpPr>
      <xdr:spPr bwMode="auto">
        <a:xfrm>
          <a:off x="12592050" y="480060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76200</xdr:colOff>
      <xdr:row>26</xdr:row>
      <xdr:rowOff>28575</xdr:rowOff>
    </xdr:from>
    <xdr:to>
      <xdr:col>25</xdr:col>
      <xdr:colOff>133350</xdr:colOff>
      <xdr:row>26</xdr:row>
      <xdr:rowOff>28575</xdr:rowOff>
    </xdr:to>
    <xdr:sp macro="" textlink="">
      <xdr:nvSpPr>
        <xdr:cNvPr id="6038620" name="Line 3">
          <a:extLst>
            <a:ext uri="{FF2B5EF4-FFF2-40B4-BE49-F238E27FC236}">
              <a16:creationId xmlns:a16="http://schemas.microsoft.com/office/drawing/2014/main" id="{00000000-0008-0000-0000-00005C245C00}"/>
            </a:ext>
          </a:extLst>
        </xdr:cNvPr>
        <xdr:cNvSpPr>
          <a:spLocks noChangeShapeType="1"/>
        </xdr:cNvSpPr>
      </xdr:nvSpPr>
      <xdr:spPr bwMode="auto">
        <a:xfrm>
          <a:off x="12896850" y="480060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295275</xdr:colOff>
      <xdr:row>26</xdr:row>
      <xdr:rowOff>9525</xdr:rowOff>
    </xdr:from>
    <xdr:to>
      <xdr:col>24</xdr:col>
      <xdr:colOff>352425</xdr:colOff>
      <xdr:row>26</xdr:row>
      <xdr:rowOff>9525</xdr:rowOff>
    </xdr:to>
    <xdr:sp macro="" textlink="">
      <xdr:nvSpPr>
        <xdr:cNvPr id="6038621" name="Line 4">
          <a:extLst>
            <a:ext uri="{FF2B5EF4-FFF2-40B4-BE49-F238E27FC236}">
              <a16:creationId xmlns:a16="http://schemas.microsoft.com/office/drawing/2014/main" id="{00000000-0008-0000-0000-00005D245C00}"/>
            </a:ext>
          </a:extLst>
        </xdr:cNvPr>
        <xdr:cNvSpPr>
          <a:spLocks noChangeShapeType="1"/>
        </xdr:cNvSpPr>
      </xdr:nvSpPr>
      <xdr:spPr bwMode="auto">
        <a:xfrm>
          <a:off x="12592050" y="478155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76200</xdr:colOff>
      <xdr:row>26</xdr:row>
      <xdr:rowOff>9525</xdr:rowOff>
    </xdr:from>
    <xdr:to>
      <xdr:col>25</xdr:col>
      <xdr:colOff>133350</xdr:colOff>
      <xdr:row>26</xdr:row>
      <xdr:rowOff>9525</xdr:rowOff>
    </xdr:to>
    <xdr:sp macro="" textlink="">
      <xdr:nvSpPr>
        <xdr:cNvPr id="6038622" name="Line 5">
          <a:extLst>
            <a:ext uri="{FF2B5EF4-FFF2-40B4-BE49-F238E27FC236}">
              <a16:creationId xmlns:a16="http://schemas.microsoft.com/office/drawing/2014/main" id="{00000000-0008-0000-0000-00005E245C00}"/>
            </a:ext>
          </a:extLst>
        </xdr:cNvPr>
        <xdr:cNvSpPr>
          <a:spLocks noChangeShapeType="1"/>
        </xdr:cNvSpPr>
      </xdr:nvSpPr>
      <xdr:spPr bwMode="auto">
        <a:xfrm>
          <a:off x="12896850" y="4781550"/>
          <a:ext cx="571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</xdr:colOff>
      <xdr:row>4</xdr:row>
      <xdr:rowOff>47625</xdr:rowOff>
    </xdr:from>
    <xdr:to>
      <xdr:col>21</xdr:col>
      <xdr:colOff>447675</xdr:colOff>
      <xdr:row>15</xdr:row>
      <xdr:rowOff>371475</xdr:rowOff>
    </xdr:to>
    <xdr:graphicFrame macro="">
      <xdr:nvGraphicFramePr>
        <xdr:cNvPr id="6038623" name="Chart 6">
          <a:extLst>
            <a:ext uri="{FF2B5EF4-FFF2-40B4-BE49-F238E27FC236}">
              <a16:creationId xmlns:a16="http://schemas.microsoft.com/office/drawing/2014/main" id="{00000000-0008-0000-0000-00005F245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17</xdr:row>
      <xdr:rowOff>85725</xdr:rowOff>
    </xdr:from>
    <xdr:to>
      <xdr:col>21</xdr:col>
      <xdr:colOff>504825</xdr:colOff>
      <xdr:row>28</xdr:row>
      <xdr:rowOff>800100</xdr:rowOff>
    </xdr:to>
    <xdr:graphicFrame macro="">
      <xdr:nvGraphicFramePr>
        <xdr:cNvPr id="6038624" name="Chart 7">
          <a:extLst>
            <a:ext uri="{FF2B5EF4-FFF2-40B4-BE49-F238E27FC236}">
              <a16:creationId xmlns:a16="http://schemas.microsoft.com/office/drawing/2014/main" id="{00000000-0008-0000-0000-000060245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16</xdr:row>
      <xdr:rowOff>28575</xdr:rowOff>
    </xdr:from>
    <xdr:to>
      <xdr:col>2</xdr:col>
      <xdr:colOff>85725</xdr:colOff>
      <xdr:row>16</xdr:row>
      <xdr:rowOff>28575</xdr:rowOff>
    </xdr:to>
    <xdr:sp macro="" textlink="">
      <xdr:nvSpPr>
        <xdr:cNvPr id="6038625" name="Line 8">
          <a:extLst>
            <a:ext uri="{FF2B5EF4-FFF2-40B4-BE49-F238E27FC236}">
              <a16:creationId xmlns:a16="http://schemas.microsoft.com/office/drawing/2014/main" id="{00000000-0008-0000-0000-000061245C00}"/>
            </a:ext>
          </a:extLst>
        </xdr:cNvPr>
        <xdr:cNvSpPr>
          <a:spLocks noChangeShapeType="1"/>
        </xdr:cNvSpPr>
      </xdr:nvSpPr>
      <xdr:spPr bwMode="auto">
        <a:xfrm>
          <a:off x="771525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247650</xdr:colOff>
      <xdr:row>16</xdr:row>
      <xdr:rowOff>28575</xdr:rowOff>
    </xdr:from>
    <xdr:to>
      <xdr:col>10</xdr:col>
      <xdr:colOff>333375</xdr:colOff>
      <xdr:row>16</xdr:row>
      <xdr:rowOff>28575</xdr:rowOff>
    </xdr:to>
    <xdr:sp macro="" textlink="">
      <xdr:nvSpPr>
        <xdr:cNvPr id="6038626" name="Line 9">
          <a:extLst>
            <a:ext uri="{FF2B5EF4-FFF2-40B4-BE49-F238E27FC236}">
              <a16:creationId xmlns:a16="http://schemas.microsoft.com/office/drawing/2014/main" id="{00000000-0008-0000-0000-000062245C00}"/>
            </a:ext>
          </a:extLst>
        </xdr:cNvPr>
        <xdr:cNvSpPr>
          <a:spLocks noChangeShapeType="1"/>
        </xdr:cNvSpPr>
      </xdr:nvSpPr>
      <xdr:spPr bwMode="auto">
        <a:xfrm>
          <a:off x="5210175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247650</xdr:colOff>
      <xdr:row>16</xdr:row>
      <xdr:rowOff>28575</xdr:rowOff>
    </xdr:from>
    <xdr:to>
      <xdr:col>19</xdr:col>
      <xdr:colOff>333375</xdr:colOff>
      <xdr:row>16</xdr:row>
      <xdr:rowOff>28575</xdr:rowOff>
    </xdr:to>
    <xdr:sp macro="" textlink="">
      <xdr:nvSpPr>
        <xdr:cNvPr id="6038627" name="Line 10">
          <a:extLst>
            <a:ext uri="{FF2B5EF4-FFF2-40B4-BE49-F238E27FC236}">
              <a16:creationId xmlns:a16="http://schemas.microsoft.com/office/drawing/2014/main" id="{00000000-0008-0000-0000-000063245C00}"/>
            </a:ext>
          </a:extLst>
        </xdr:cNvPr>
        <xdr:cNvSpPr>
          <a:spLocks noChangeShapeType="1"/>
        </xdr:cNvSpPr>
      </xdr:nvSpPr>
      <xdr:spPr bwMode="auto">
        <a:xfrm>
          <a:off x="9925050" y="34480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36</xdr:row>
      <xdr:rowOff>28575</xdr:rowOff>
    </xdr:from>
    <xdr:to>
      <xdr:col>1</xdr:col>
      <xdr:colOff>333375</xdr:colOff>
      <xdr:row>36</xdr:row>
      <xdr:rowOff>28575</xdr:rowOff>
    </xdr:to>
    <xdr:sp macro="" textlink="">
      <xdr:nvSpPr>
        <xdr:cNvPr id="6038628" name="Line 22">
          <a:extLst>
            <a:ext uri="{FF2B5EF4-FFF2-40B4-BE49-F238E27FC236}">
              <a16:creationId xmlns:a16="http://schemas.microsoft.com/office/drawing/2014/main" id="{00000000-0008-0000-0000-000064245C00}"/>
            </a:ext>
          </a:extLst>
        </xdr:cNvPr>
        <xdr:cNvSpPr>
          <a:spLocks noChangeShapeType="1"/>
        </xdr:cNvSpPr>
      </xdr:nvSpPr>
      <xdr:spPr bwMode="auto">
        <a:xfrm>
          <a:off x="533400" y="8001000"/>
          <a:ext cx="66675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U78"/>
  <sheetViews>
    <sheetView tabSelected="1" zoomScaleNormal="100" workbookViewId="0">
      <pane ySplit="3" topLeftCell="A4" activePane="bottomLeft" state="frozen"/>
      <selection pane="bottomLeft" activeCell="Y3" sqref="Y3:AA3"/>
    </sheetView>
  </sheetViews>
  <sheetFormatPr defaultColWidth="3.75" defaultRowHeight="10.5" customHeight="1" x14ac:dyDescent="0.35"/>
  <cols>
    <col min="1" max="1" width="3.5" style="4" customWidth="1"/>
    <col min="2" max="2" width="6.625" style="4" customWidth="1"/>
    <col min="3" max="27" width="6.875" style="5" customWidth="1"/>
    <col min="28" max="47" width="3.75" style="4" customWidth="1"/>
    <col min="48" max="16384" width="3.75" style="6"/>
  </cols>
  <sheetData>
    <row r="1" spans="1:47" ht="28.5" customHeight="1" thickBot="1" x14ac:dyDescent="0.4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5"/>
    </row>
    <row r="2" spans="1:47" s="1" customFormat="1" ht="24.95" customHeight="1" thickBot="1" x14ac:dyDescent="0.45">
      <c r="A2" s="56" t="s">
        <v>1</v>
      </c>
      <c r="B2" s="57"/>
      <c r="C2" s="57"/>
      <c r="D2" s="58" t="s">
        <v>93</v>
      </c>
      <c r="E2" s="59"/>
      <c r="F2" s="59"/>
      <c r="G2" s="57" t="s">
        <v>2</v>
      </c>
      <c r="H2" s="57"/>
      <c r="I2" s="60" t="s">
        <v>95</v>
      </c>
      <c r="J2" s="61"/>
      <c r="K2" s="57" t="s">
        <v>3</v>
      </c>
      <c r="L2" s="57"/>
      <c r="M2" s="62" t="s">
        <v>99</v>
      </c>
      <c r="N2" s="63"/>
      <c r="O2" s="57" t="s">
        <v>4</v>
      </c>
      <c r="P2" s="57"/>
      <c r="Q2" s="64"/>
      <c r="R2" s="65"/>
      <c r="S2" s="57" t="s">
        <v>5</v>
      </c>
      <c r="T2" s="57"/>
      <c r="U2" s="60">
        <v>25</v>
      </c>
      <c r="V2" s="61"/>
      <c r="W2" s="74" t="s">
        <v>6</v>
      </c>
      <c r="X2" s="75"/>
      <c r="Y2" s="76"/>
      <c r="Z2" s="77"/>
      <c r="AA2" s="78"/>
    </row>
    <row r="3" spans="1:47" s="1" customFormat="1" ht="24.95" customHeight="1" x14ac:dyDescent="0.4">
      <c r="A3" s="66" t="s">
        <v>83</v>
      </c>
      <c r="B3" s="67"/>
      <c r="C3" s="67"/>
      <c r="D3" s="58" t="s">
        <v>94</v>
      </c>
      <c r="E3" s="59"/>
      <c r="F3" s="59"/>
      <c r="G3" s="67" t="s">
        <v>7</v>
      </c>
      <c r="H3" s="67"/>
      <c r="I3" s="68" t="s">
        <v>97</v>
      </c>
      <c r="J3" s="69"/>
      <c r="K3" s="67" t="s">
        <v>8</v>
      </c>
      <c r="L3" s="67"/>
      <c r="M3" s="79">
        <v>14.25</v>
      </c>
      <c r="N3" s="80"/>
      <c r="O3" s="67" t="s">
        <v>9</v>
      </c>
      <c r="P3" s="67"/>
      <c r="Q3" s="84"/>
      <c r="R3" s="85"/>
      <c r="S3" s="67" t="s">
        <v>10</v>
      </c>
      <c r="T3" s="67"/>
      <c r="U3" s="86" t="s">
        <v>96</v>
      </c>
      <c r="V3" s="87"/>
      <c r="W3" s="88"/>
      <c r="X3" s="89"/>
      <c r="Y3" s="90"/>
      <c r="Z3" s="91"/>
      <c r="AA3" s="92"/>
    </row>
    <row r="4" spans="1:47" ht="20.25" customHeight="1" x14ac:dyDescent="0.4">
      <c r="A4" s="7" t="s">
        <v>11</v>
      </c>
      <c r="B4" s="42"/>
      <c r="C4" s="43"/>
      <c r="D4" s="42" t="s">
        <v>70</v>
      </c>
      <c r="E4" s="70">
        <f>(Q2+Q3)/2</f>
        <v>0</v>
      </c>
      <c r="F4" s="70"/>
      <c r="G4" s="44" t="s">
        <v>69</v>
      </c>
      <c r="H4" s="37">
        <f>E17/2.326</f>
        <v>1.4187446259673336E-2</v>
      </c>
      <c r="I4" s="44" t="s">
        <v>71</v>
      </c>
      <c r="J4" s="37">
        <f>E4+H4*3</f>
        <v>4.2562338779020006E-2</v>
      </c>
      <c r="K4" s="44" t="s">
        <v>72</v>
      </c>
      <c r="L4" s="37">
        <f>E4-H4*3</f>
        <v>-4.2562338779020006E-2</v>
      </c>
      <c r="M4" s="44" t="s">
        <v>73</v>
      </c>
      <c r="N4" s="37">
        <f>E4+H4</f>
        <v>1.4187446259673336E-2</v>
      </c>
      <c r="O4" s="44" t="s">
        <v>74</v>
      </c>
      <c r="P4" s="37">
        <f>E4+H4*2</f>
        <v>2.8374892519346672E-2</v>
      </c>
      <c r="Q4" s="44" t="s">
        <v>75</v>
      </c>
      <c r="R4" s="37">
        <f>E4-H4</f>
        <v>-1.4187446259673336E-2</v>
      </c>
      <c r="S4" s="44" t="s">
        <v>76</v>
      </c>
      <c r="T4" s="37">
        <f>E4-H4*2</f>
        <v>-2.8374892519346672E-2</v>
      </c>
      <c r="U4" s="38"/>
      <c r="V4" s="39"/>
      <c r="W4" s="71" t="s">
        <v>12</v>
      </c>
      <c r="X4" s="72"/>
      <c r="Y4" s="72"/>
      <c r="Z4" s="72"/>
      <c r="AA4" s="73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s="1" customFormat="1" ht="14.25" customHeight="1" x14ac:dyDescent="0.4">
      <c r="A5" s="100"/>
      <c r="C5" s="8"/>
      <c r="D5" s="8"/>
      <c r="E5" s="8"/>
      <c r="F5" s="9"/>
      <c r="G5" s="8"/>
      <c r="H5" s="8"/>
      <c r="I5" s="8"/>
      <c r="J5" s="8"/>
      <c r="K5" s="8"/>
      <c r="L5" s="8"/>
      <c r="M5" s="8"/>
      <c r="N5" s="5"/>
      <c r="O5" s="8"/>
      <c r="P5" s="8"/>
      <c r="Q5" s="8"/>
      <c r="R5" s="8"/>
      <c r="S5" s="8"/>
      <c r="T5" s="8"/>
      <c r="U5" s="8"/>
      <c r="V5" s="8"/>
      <c r="W5" s="102" t="s">
        <v>13</v>
      </c>
      <c r="X5" s="103"/>
      <c r="Y5" s="103"/>
      <c r="Z5" s="103"/>
      <c r="AA5" s="104"/>
    </row>
    <row r="6" spans="1:47" s="1" customFormat="1" ht="10.5" customHeight="1" x14ac:dyDescent="0.4">
      <c r="A6" s="100"/>
      <c r="C6" s="8"/>
      <c r="D6" s="8"/>
      <c r="E6" s="8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1" t="s">
        <v>85</v>
      </c>
      <c r="X6" s="82"/>
      <c r="Y6" s="82"/>
      <c r="Z6" s="82"/>
      <c r="AA6" s="83"/>
    </row>
    <row r="7" spans="1:47" s="1" customFormat="1" ht="10.5" customHeight="1" x14ac:dyDescent="0.4">
      <c r="A7" s="100"/>
      <c r="C7" s="8"/>
      <c r="D7" s="8"/>
      <c r="E7" s="8"/>
      <c r="F7" s="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1" t="s">
        <v>86</v>
      </c>
      <c r="X7" s="82"/>
      <c r="Y7" s="82"/>
      <c r="Z7" s="82"/>
      <c r="AA7" s="83"/>
    </row>
    <row r="8" spans="1:47" s="1" customFormat="1" ht="10.5" customHeight="1" x14ac:dyDescent="0.4">
      <c r="A8" s="100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1" t="s">
        <v>87</v>
      </c>
      <c r="X8" s="82"/>
      <c r="Y8" s="82"/>
      <c r="Z8" s="82"/>
      <c r="AA8" s="83"/>
    </row>
    <row r="9" spans="1:47" s="1" customFormat="1" ht="10.5" customHeight="1" x14ac:dyDescent="0.4">
      <c r="A9" s="100"/>
      <c r="C9" s="8"/>
      <c r="D9" s="8"/>
      <c r="E9" s="8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1" t="s">
        <v>88</v>
      </c>
      <c r="X9" s="82"/>
      <c r="Y9" s="82"/>
      <c r="Z9" s="82"/>
      <c r="AA9" s="83"/>
    </row>
    <row r="10" spans="1:47" s="1" customFormat="1" ht="10.5" customHeight="1" x14ac:dyDescent="0.4">
      <c r="A10" s="100"/>
      <c r="C10" s="8"/>
      <c r="D10" s="8"/>
      <c r="E10" s="8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1" t="s">
        <v>89</v>
      </c>
      <c r="X10" s="82"/>
      <c r="Y10" s="82"/>
      <c r="Z10" s="82"/>
      <c r="AA10" s="83"/>
    </row>
    <row r="11" spans="1:47" s="1" customFormat="1" ht="10.5" customHeight="1" x14ac:dyDescent="0.4">
      <c r="A11" s="100"/>
      <c r="C11" s="8"/>
      <c r="D11" s="8"/>
      <c r="E11" s="8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1" t="s">
        <v>90</v>
      </c>
      <c r="X11" s="82"/>
      <c r="Y11" s="82"/>
      <c r="Z11" s="82"/>
      <c r="AA11" s="83"/>
    </row>
    <row r="12" spans="1:47" s="1" customFormat="1" ht="10.5" customHeight="1" x14ac:dyDescent="0.4">
      <c r="A12" s="100"/>
      <c r="C12" s="8"/>
      <c r="D12" s="8"/>
      <c r="E12" s="8"/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1" t="s">
        <v>91</v>
      </c>
      <c r="X12" s="82"/>
      <c r="Y12" s="82"/>
      <c r="Z12" s="82"/>
      <c r="AA12" s="83"/>
    </row>
    <row r="13" spans="1:47" s="1" customFormat="1" ht="10.5" customHeight="1" x14ac:dyDescent="0.4">
      <c r="A13" s="100"/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1" t="s">
        <v>92</v>
      </c>
      <c r="X13" s="82"/>
      <c r="Y13" s="82"/>
      <c r="Z13" s="82"/>
      <c r="AA13" s="83"/>
    </row>
    <row r="14" spans="1:47" s="1" customFormat="1" ht="52.15" customHeight="1" x14ac:dyDescent="0.4">
      <c r="A14" s="100"/>
      <c r="C14" s="8"/>
      <c r="D14" s="8"/>
      <c r="E14" s="8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5" t="s">
        <v>14</v>
      </c>
      <c r="X14" s="96"/>
      <c r="Y14" s="96"/>
      <c r="Z14" s="96"/>
      <c r="AA14" s="97"/>
    </row>
    <row r="15" spans="1:47" s="1" customFormat="1" ht="10.5" customHeight="1" x14ac:dyDescent="0.4">
      <c r="A15" s="100"/>
      <c r="C15" s="8"/>
      <c r="D15" s="8"/>
      <c r="E15" s="8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8" t="s">
        <v>15</v>
      </c>
      <c r="X15" s="19" t="s">
        <v>16</v>
      </c>
      <c r="Y15" s="19" t="s">
        <v>17</v>
      </c>
      <c r="Z15" s="19" t="s">
        <v>18</v>
      </c>
      <c r="AA15" s="24" t="s">
        <v>19</v>
      </c>
    </row>
    <row r="16" spans="1:47" s="1" customFormat="1" ht="10.5" customHeight="1" x14ac:dyDescent="0.4">
      <c r="A16" s="101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0">
        <v>2</v>
      </c>
      <c r="X16" s="21">
        <v>1.88</v>
      </c>
      <c r="Y16" s="21" t="s">
        <v>20</v>
      </c>
      <c r="Z16" s="21">
        <v>3.27</v>
      </c>
      <c r="AA16" s="25">
        <v>1.1299999999999999</v>
      </c>
    </row>
    <row r="17" spans="1:47" s="1" customFormat="1" ht="11.85" customHeight="1" x14ac:dyDescent="0.4">
      <c r="A17" s="10" t="s">
        <v>11</v>
      </c>
      <c r="B17" s="98" t="s">
        <v>21</v>
      </c>
      <c r="C17" s="98"/>
      <c r="D17" s="98"/>
      <c r="E17" s="99">
        <f>AVERAGE(C38:AA38)</f>
        <v>3.3000000000000182E-2</v>
      </c>
      <c r="F17" s="99"/>
      <c r="G17" s="11"/>
      <c r="H17" s="11"/>
      <c r="I17" s="98" t="s">
        <v>22</v>
      </c>
      <c r="J17" s="98"/>
      <c r="K17" s="98"/>
      <c r="L17" s="99">
        <f>Z19*E17</f>
        <v>6.9630000000000386E-2</v>
      </c>
      <c r="M17" s="99"/>
      <c r="N17" s="11" t="s">
        <v>23</v>
      </c>
      <c r="O17" s="11" t="s">
        <v>24</v>
      </c>
      <c r="P17" s="99">
        <f>_xlfn.STDEV.P(C32:AA36)</f>
        <v>1.4473271364829695E-2</v>
      </c>
      <c r="Q17" s="99"/>
      <c r="R17" s="98" t="s">
        <v>25</v>
      </c>
      <c r="S17" s="98"/>
      <c r="T17" s="98"/>
      <c r="U17" s="99">
        <f>0*E17</f>
        <v>0</v>
      </c>
      <c r="V17" s="99"/>
      <c r="W17" s="20">
        <v>3</v>
      </c>
      <c r="X17" s="21">
        <v>1.02</v>
      </c>
      <c r="Y17" s="21" t="s">
        <v>20</v>
      </c>
      <c r="Z17" s="21">
        <v>2.57</v>
      </c>
      <c r="AA17" s="25">
        <v>1.69</v>
      </c>
    </row>
    <row r="18" spans="1:47" s="1" customFormat="1" ht="11.85" customHeight="1" x14ac:dyDescent="0.4">
      <c r="A18" s="100" t="s">
        <v>26</v>
      </c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0">
        <v>4</v>
      </c>
      <c r="X18" s="21">
        <v>0.73</v>
      </c>
      <c r="Y18" s="21" t="s">
        <v>20</v>
      </c>
      <c r="Z18" s="21">
        <v>2.2799999999999998</v>
      </c>
      <c r="AA18" s="25">
        <v>2.06</v>
      </c>
    </row>
    <row r="19" spans="1:47" s="1" customFormat="1" ht="10.5" customHeight="1" x14ac:dyDescent="0.4">
      <c r="A19" s="100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0">
        <v>5</v>
      </c>
      <c r="X19" s="21">
        <v>0.57999999999999996</v>
      </c>
      <c r="Y19" s="21" t="s">
        <v>20</v>
      </c>
      <c r="Z19" s="21">
        <v>2.11</v>
      </c>
      <c r="AA19" s="25">
        <v>2.33</v>
      </c>
    </row>
    <row r="20" spans="1:47" s="1" customFormat="1" ht="10.5" customHeight="1" x14ac:dyDescent="0.4">
      <c r="A20" s="100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0">
        <v>6</v>
      </c>
      <c r="X20" s="21">
        <v>0.48</v>
      </c>
      <c r="Y20" s="21" t="s">
        <v>20</v>
      </c>
      <c r="Z20" s="21">
        <v>2</v>
      </c>
      <c r="AA20" s="25">
        <v>2.5299999999999998</v>
      </c>
    </row>
    <row r="21" spans="1:47" s="1" customFormat="1" ht="10.5" customHeight="1" x14ac:dyDescent="0.4">
      <c r="A21" s="100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0">
        <v>7</v>
      </c>
      <c r="X21" s="21">
        <v>0.42</v>
      </c>
      <c r="Y21" s="21">
        <v>0.08</v>
      </c>
      <c r="Z21" s="21">
        <v>1.92</v>
      </c>
      <c r="AA21" s="25">
        <v>2.7</v>
      </c>
    </row>
    <row r="22" spans="1:47" s="1" customFormat="1" ht="10.5" customHeight="1" x14ac:dyDescent="0.4">
      <c r="A22" s="100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0">
        <v>8</v>
      </c>
      <c r="X22" s="21">
        <v>0.37</v>
      </c>
      <c r="Y22" s="21">
        <v>0.14000000000000001</v>
      </c>
      <c r="Z22" s="21">
        <v>1.86</v>
      </c>
      <c r="AA22" s="25">
        <v>2.85</v>
      </c>
    </row>
    <row r="23" spans="1:47" s="1" customFormat="1" ht="10.5" customHeight="1" x14ac:dyDescent="0.4">
      <c r="A23" s="100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0">
        <v>9</v>
      </c>
      <c r="X23" s="21">
        <v>0.34</v>
      </c>
      <c r="Y23" s="21">
        <v>0.18</v>
      </c>
      <c r="Z23" s="21">
        <v>1.82</v>
      </c>
      <c r="AA23" s="25">
        <v>2.97</v>
      </c>
    </row>
    <row r="24" spans="1:47" s="1" customFormat="1" ht="10.5" customHeight="1" x14ac:dyDescent="0.4">
      <c r="A24" s="100"/>
      <c r="C24" s="5"/>
      <c r="D24" s="5"/>
      <c r="E24" s="5"/>
      <c r="F24" s="1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20">
        <v>10</v>
      </c>
      <c r="X24" s="21">
        <v>0.31</v>
      </c>
      <c r="Y24" s="21">
        <v>0.22</v>
      </c>
      <c r="Z24" s="21">
        <v>1.78</v>
      </c>
      <c r="AA24" s="25">
        <v>3.08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</row>
    <row r="25" spans="1:47" s="1" customFormat="1" ht="10.5" customHeight="1" x14ac:dyDescent="0.4">
      <c r="A25" s="100"/>
      <c r="C25" s="5"/>
      <c r="D25" s="5"/>
      <c r="E25" s="5"/>
      <c r="F25" s="1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05" t="s">
        <v>128</v>
      </c>
      <c r="X25" s="106"/>
      <c r="Y25" s="106"/>
      <c r="Z25" s="106"/>
      <c r="AA25" s="107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</row>
    <row r="26" spans="1:47" s="1" customFormat="1" ht="10.5" customHeight="1" x14ac:dyDescent="0.4">
      <c r="A26" s="100"/>
      <c r="C26" s="5"/>
      <c r="D26" s="5"/>
      <c r="E26" s="5"/>
      <c r="F26" s="1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08"/>
      <c r="X26" s="109"/>
      <c r="Y26" s="109"/>
      <c r="Z26" s="109"/>
      <c r="AA26" s="110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</row>
    <row r="27" spans="1:47" s="1" customFormat="1" ht="10.5" customHeight="1" x14ac:dyDescent="0.4">
      <c r="A27" s="10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T27" s="5"/>
      <c r="U27" s="5"/>
      <c r="V27" s="5"/>
      <c r="W27" s="111" t="s">
        <v>129</v>
      </c>
      <c r="X27" s="112"/>
      <c r="Y27" s="27" t="s">
        <v>27</v>
      </c>
      <c r="Z27" s="28" t="s">
        <v>28</v>
      </c>
      <c r="AA27" s="115" t="s">
        <v>29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</row>
    <row r="28" spans="1:47" s="1" customFormat="1" ht="24.75" customHeight="1" x14ac:dyDescent="0.4">
      <c r="A28" s="100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13"/>
      <c r="X28" s="114"/>
      <c r="Y28" s="29" t="s">
        <v>130</v>
      </c>
      <c r="Z28" s="30" t="s">
        <v>131</v>
      </c>
      <c r="AA28" s="11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</row>
    <row r="29" spans="1:47" s="1" customFormat="1" ht="69.75" customHeight="1" x14ac:dyDescent="0.4">
      <c r="A29" s="10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22" t="s">
        <v>30</v>
      </c>
      <c r="X29" s="23">
        <f>ABS((Q2-AVERAGE(C32:AA36))/(3*H4))</f>
        <v>334.51394844444263</v>
      </c>
      <c r="Y29" s="31">
        <f>ABS(AVERAGE(C32:AA36)-Q3)/(3*H4)</f>
        <v>334.51394844444263</v>
      </c>
      <c r="Z29" s="32" t="s">
        <v>31</v>
      </c>
      <c r="AA29" s="33">
        <f>MIN(X29,Y29)</f>
        <v>334.51394844444263</v>
      </c>
      <c r="AB29" s="34"/>
    </row>
    <row r="30" spans="1:47" s="2" customFormat="1" ht="16.5" customHeight="1" x14ac:dyDescent="0.4">
      <c r="A30" s="93" t="s">
        <v>32</v>
      </c>
      <c r="B30" s="94"/>
      <c r="C30" s="14" t="s">
        <v>33</v>
      </c>
      <c r="D30" s="14" t="s">
        <v>34</v>
      </c>
      <c r="E30" s="14" t="s">
        <v>35</v>
      </c>
      <c r="F30" s="14" t="s">
        <v>36</v>
      </c>
      <c r="G30" s="14" t="s">
        <v>37</v>
      </c>
      <c r="H30" s="14" t="s">
        <v>38</v>
      </c>
      <c r="I30" s="14" t="s">
        <v>39</v>
      </c>
      <c r="J30" s="14" t="s">
        <v>40</v>
      </c>
      <c r="K30" s="14" t="s">
        <v>41</v>
      </c>
      <c r="L30" s="14" t="s">
        <v>42</v>
      </c>
      <c r="M30" s="14" t="s">
        <v>43</v>
      </c>
      <c r="N30" s="14" t="s">
        <v>44</v>
      </c>
      <c r="O30" s="14" t="s">
        <v>45</v>
      </c>
      <c r="P30" s="14" t="s">
        <v>46</v>
      </c>
      <c r="Q30" s="14" t="s">
        <v>47</v>
      </c>
      <c r="R30" s="14" t="s">
        <v>48</v>
      </c>
      <c r="S30" s="14" t="s">
        <v>49</v>
      </c>
      <c r="T30" s="14" t="s">
        <v>50</v>
      </c>
      <c r="U30" s="14" t="s">
        <v>51</v>
      </c>
      <c r="V30" s="14" t="s">
        <v>52</v>
      </c>
      <c r="W30" s="14" t="s">
        <v>53</v>
      </c>
      <c r="X30" s="14" t="s">
        <v>54</v>
      </c>
      <c r="Y30" s="14" t="s">
        <v>55</v>
      </c>
      <c r="Z30" s="14" t="s">
        <v>56</v>
      </c>
      <c r="AA30" s="35" t="s">
        <v>57</v>
      </c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</row>
    <row r="31" spans="1:47" s="2" customFormat="1" ht="21.95" customHeight="1" x14ac:dyDescent="0.4">
      <c r="A31" s="93" t="s">
        <v>84</v>
      </c>
      <c r="B31" s="89"/>
      <c r="C31" s="50" t="s">
        <v>121</v>
      </c>
      <c r="D31" s="50" t="s">
        <v>100</v>
      </c>
      <c r="E31" s="50" t="s">
        <v>101</v>
      </c>
      <c r="F31" s="50" t="s">
        <v>102</v>
      </c>
      <c r="G31" s="50" t="s">
        <v>103</v>
      </c>
      <c r="H31" s="50" t="s">
        <v>104</v>
      </c>
      <c r="I31" s="50" t="s">
        <v>105</v>
      </c>
      <c r="J31" s="50" t="s">
        <v>106</v>
      </c>
      <c r="K31" s="50" t="s">
        <v>122</v>
      </c>
      <c r="L31" s="50" t="s">
        <v>107</v>
      </c>
      <c r="M31" s="50" t="s">
        <v>108</v>
      </c>
      <c r="N31" s="50" t="s">
        <v>109</v>
      </c>
      <c r="O31" s="50" t="s">
        <v>110</v>
      </c>
      <c r="P31" s="50" t="s">
        <v>111</v>
      </c>
      <c r="Q31" s="50" t="s">
        <v>123</v>
      </c>
      <c r="R31" s="50" t="s">
        <v>112</v>
      </c>
      <c r="S31" s="50" t="s">
        <v>113</v>
      </c>
      <c r="T31" s="50" t="s">
        <v>114</v>
      </c>
      <c r="U31" s="50" t="s">
        <v>115</v>
      </c>
      <c r="V31" s="50" t="s">
        <v>116</v>
      </c>
      <c r="W31" s="50" t="s">
        <v>124</v>
      </c>
      <c r="X31" s="50" t="s">
        <v>117</v>
      </c>
      <c r="Y31" s="50" t="s">
        <v>118</v>
      </c>
      <c r="Z31" s="50" t="s">
        <v>119</v>
      </c>
      <c r="AA31" s="50" t="s">
        <v>120</v>
      </c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</row>
    <row r="32" spans="1:47" s="1" customFormat="1" ht="21.95" customHeight="1" x14ac:dyDescent="0.3">
      <c r="A32" s="119" t="s">
        <v>58</v>
      </c>
      <c r="B32" s="48">
        <v>1</v>
      </c>
      <c r="C32" s="52">
        <v>14.238</v>
      </c>
      <c r="D32" s="52">
        <v>14.244</v>
      </c>
      <c r="E32" s="52">
        <v>14.252000000000001</v>
      </c>
      <c r="F32" s="52">
        <v>14.241</v>
      </c>
      <c r="G32" s="52">
        <v>14.218999999999999</v>
      </c>
      <c r="H32" s="52">
        <v>14.238</v>
      </c>
      <c r="I32" s="52">
        <v>14.241</v>
      </c>
      <c r="J32" s="52">
        <v>14.236000000000001</v>
      </c>
      <c r="K32" s="52">
        <v>14.243</v>
      </c>
      <c r="L32" s="52">
        <v>14.259</v>
      </c>
      <c r="M32" s="52">
        <v>14.217000000000001</v>
      </c>
      <c r="N32" s="52">
        <v>14.228</v>
      </c>
      <c r="O32" s="52">
        <v>14.22</v>
      </c>
      <c r="P32" s="52">
        <v>14.238</v>
      </c>
      <c r="Q32" s="52">
        <v>14.262</v>
      </c>
      <c r="R32" s="52">
        <v>14.254</v>
      </c>
      <c r="S32" s="52">
        <v>14.222</v>
      </c>
      <c r="T32" s="52">
        <v>14.250999999999999</v>
      </c>
      <c r="U32" s="52">
        <v>14.233000000000001</v>
      </c>
      <c r="V32" s="52">
        <v>14.250999999999999</v>
      </c>
      <c r="W32" s="52">
        <v>14.242000000000001</v>
      </c>
      <c r="X32" s="52">
        <v>14.24</v>
      </c>
      <c r="Y32" s="52">
        <v>14.223000000000001</v>
      </c>
      <c r="Z32" s="52">
        <v>14.259</v>
      </c>
      <c r="AA32" s="52">
        <v>14.212</v>
      </c>
      <c r="AB32" s="51"/>
      <c r="AC32" s="51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</row>
    <row r="33" spans="1:47" s="1" customFormat="1" ht="21.95" customHeight="1" x14ac:dyDescent="0.3">
      <c r="A33" s="120"/>
      <c r="B33" s="48">
        <v>2</v>
      </c>
      <c r="C33" s="52">
        <v>14.237</v>
      </c>
      <c r="D33" s="52">
        <v>14.247999999999999</v>
      </c>
      <c r="E33" s="52">
        <v>14.227</v>
      </c>
      <c r="F33" s="52">
        <v>14.244999999999999</v>
      </c>
      <c r="G33" s="52">
        <v>14.227</v>
      </c>
      <c r="H33" s="52">
        <v>14.225</v>
      </c>
      <c r="I33" s="52">
        <v>14.263</v>
      </c>
      <c r="J33" s="52">
        <v>14.244</v>
      </c>
      <c r="K33" s="52">
        <v>14.249000000000001</v>
      </c>
      <c r="L33" s="52">
        <v>14.227</v>
      </c>
      <c r="M33" s="52">
        <v>14.263</v>
      </c>
      <c r="N33" s="52">
        <v>14.231</v>
      </c>
      <c r="O33" s="52">
        <v>14.233000000000001</v>
      </c>
      <c r="P33" s="52">
        <v>14.225</v>
      </c>
      <c r="Q33" s="52">
        <v>14.218999999999999</v>
      </c>
      <c r="R33" s="52">
        <v>14.254</v>
      </c>
      <c r="S33" s="52">
        <v>14.227</v>
      </c>
      <c r="T33" s="52">
        <v>14.262</v>
      </c>
      <c r="U33" s="52">
        <v>14.238</v>
      </c>
      <c r="V33" s="52">
        <v>14.231999999999999</v>
      </c>
      <c r="W33" s="52">
        <v>14.254</v>
      </c>
      <c r="X33" s="52">
        <v>14.236000000000001</v>
      </c>
      <c r="Y33" s="52">
        <v>14.212</v>
      </c>
      <c r="Z33" s="52">
        <v>14.236000000000001</v>
      </c>
      <c r="AA33" s="52">
        <v>14.263</v>
      </c>
      <c r="AB33" s="51"/>
      <c r="AC33" s="51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</row>
    <row r="34" spans="1:47" s="1" customFormat="1" ht="21.95" customHeight="1" x14ac:dyDescent="0.3">
      <c r="A34" s="120"/>
      <c r="B34" s="48">
        <v>3</v>
      </c>
      <c r="C34" s="52">
        <v>14.252000000000001</v>
      </c>
      <c r="D34" s="52">
        <v>14.218999999999999</v>
      </c>
      <c r="E34" s="52">
        <v>14.260999999999999</v>
      </c>
      <c r="F34" s="52">
        <v>14.260999999999999</v>
      </c>
      <c r="G34" s="52">
        <v>14.244</v>
      </c>
      <c r="H34" s="52">
        <v>14.222</v>
      </c>
      <c r="I34" s="52">
        <v>14.231</v>
      </c>
      <c r="J34" s="52">
        <v>14.244</v>
      </c>
      <c r="K34" s="52">
        <v>14.243</v>
      </c>
      <c r="L34" s="52">
        <v>14.227</v>
      </c>
      <c r="M34" s="52">
        <v>14.253</v>
      </c>
      <c r="N34" s="52">
        <v>14.212999999999999</v>
      </c>
      <c r="O34" s="52">
        <v>14.243</v>
      </c>
      <c r="P34" s="52">
        <v>14.234999999999999</v>
      </c>
      <c r="Q34" s="52">
        <v>14.247999999999999</v>
      </c>
      <c r="R34" s="52">
        <v>14.223000000000001</v>
      </c>
      <c r="S34" s="52">
        <v>14.257999999999999</v>
      </c>
      <c r="T34" s="52">
        <v>14.263</v>
      </c>
      <c r="U34" s="52">
        <v>14.222</v>
      </c>
      <c r="V34" s="52">
        <v>14.224</v>
      </c>
      <c r="W34" s="52">
        <v>14.255000000000001</v>
      </c>
      <c r="X34" s="52">
        <v>14.243</v>
      </c>
      <c r="Y34" s="52">
        <v>14.214</v>
      </c>
      <c r="Z34" s="52">
        <v>14.250999999999999</v>
      </c>
      <c r="AA34" s="52">
        <v>14.224</v>
      </c>
      <c r="AB34" s="51"/>
      <c r="AC34" s="51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</row>
    <row r="35" spans="1:47" s="1" customFormat="1" ht="21.95" customHeight="1" x14ac:dyDescent="0.3">
      <c r="A35" s="120"/>
      <c r="B35" s="48">
        <v>4</v>
      </c>
      <c r="C35" s="52">
        <v>14.239000000000001</v>
      </c>
      <c r="D35" s="52">
        <v>14.252000000000001</v>
      </c>
      <c r="E35" s="52">
        <v>14.233000000000001</v>
      </c>
      <c r="F35" s="52">
        <v>14.250999999999999</v>
      </c>
      <c r="G35" s="52">
        <v>14.218</v>
      </c>
      <c r="H35" s="52">
        <v>14.23</v>
      </c>
      <c r="I35" s="52">
        <v>14.243</v>
      </c>
      <c r="J35" s="52">
        <v>14.233000000000001</v>
      </c>
      <c r="K35" s="52">
        <v>14.254</v>
      </c>
      <c r="L35" s="52">
        <v>14.242000000000001</v>
      </c>
      <c r="M35" s="52">
        <v>14.260999999999999</v>
      </c>
      <c r="N35" s="52">
        <v>14.23</v>
      </c>
      <c r="O35" s="52">
        <v>14.214</v>
      </c>
      <c r="P35" s="52">
        <v>14.262</v>
      </c>
      <c r="Q35" s="52">
        <v>14.231999999999999</v>
      </c>
      <c r="R35" s="52">
        <v>14.215999999999999</v>
      </c>
      <c r="S35" s="52">
        <v>14.227</v>
      </c>
      <c r="T35" s="52">
        <v>14.237</v>
      </c>
      <c r="U35" s="52">
        <v>14.244999999999999</v>
      </c>
      <c r="V35" s="52">
        <v>14.24</v>
      </c>
      <c r="W35" s="52">
        <v>14.22</v>
      </c>
      <c r="X35" s="52">
        <v>14.218</v>
      </c>
      <c r="Y35" s="52">
        <v>14.234999999999999</v>
      </c>
      <c r="Z35" s="52">
        <v>14.231999999999999</v>
      </c>
      <c r="AA35" s="52">
        <v>14.217000000000001</v>
      </c>
      <c r="AB35" s="51"/>
      <c r="AC35" s="51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</row>
    <row r="36" spans="1:47" s="1" customFormat="1" ht="21.95" customHeight="1" x14ac:dyDescent="0.4">
      <c r="A36" s="120"/>
      <c r="B36" s="48">
        <v>5</v>
      </c>
      <c r="C36" s="52">
        <v>14.244999999999999</v>
      </c>
      <c r="D36" s="52">
        <v>14.227</v>
      </c>
      <c r="E36" s="52">
        <v>14.237</v>
      </c>
      <c r="F36" s="52">
        <v>14.234999999999999</v>
      </c>
      <c r="G36" s="52">
        <v>14.22</v>
      </c>
      <c r="H36" s="52">
        <v>14.249000000000001</v>
      </c>
      <c r="I36" s="52">
        <v>14.233000000000001</v>
      </c>
      <c r="J36" s="52">
        <v>14.238</v>
      </c>
      <c r="K36" s="52">
        <v>14.262</v>
      </c>
      <c r="L36" s="52">
        <v>14.218</v>
      </c>
      <c r="M36" s="52">
        <v>14.265000000000001</v>
      </c>
      <c r="N36" s="52">
        <v>14.263</v>
      </c>
      <c r="O36" s="52">
        <v>14.215999999999999</v>
      </c>
      <c r="P36" s="52">
        <v>14.212</v>
      </c>
      <c r="Q36" s="52">
        <v>14.226000000000001</v>
      </c>
      <c r="R36" s="52">
        <v>14.228</v>
      </c>
      <c r="S36" s="52">
        <v>14.241</v>
      </c>
      <c r="T36" s="52">
        <v>14.228999999999999</v>
      </c>
      <c r="U36" s="52">
        <v>14.246</v>
      </c>
      <c r="V36" s="52">
        <v>14.244999999999999</v>
      </c>
      <c r="W36" s="52">
        <v>14.228</v>
      </c>
      <c r="X36" s="52">
        <v>14.250999999999999</v>
      </c>
      <c r="Y36" s="52">
        <v>14.247999999999999</v>
      </c>
      <c r="Z36" s="52">
        <v>14.236000000000001</v>
      </c>
      <c r="AA36" s="52">
        <v>14.22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</row>
    <row r="37" spans="1:47" s="1" customFormat="1" ht="21.95" customHeight="1" x14ac:dyDescent="0.4">
      <c r="A37" s="121" t="s">
        <v>59</v>
      </c>
      <c r="B37" s="122"/>
      <c r="C37" s="49">
        <f t="shared" ref="C37:AA37" si="0">AVERAGE(C32:C36)</f>
        <v>14.242200000000002</v>
      </c>
      <c r="D37" s="49">
        <f t="shared" si="0"/>
        <v>14.238</v>
      </c>
      <c r="E37" s="49">
        <f t="shared" si="0"/>
        <v>14.241999999999999</v>
      </c>
      <c r="F37" s="49">
        <f t="shared" si="0"/>
        <v>14.246600000000001</v>
      </c>
      <c r="G37" s="49">
        <f t="shared" si="0"/>
        <v>14.2256</v>
      </c>
      <c r="H37" s="49">
        <f t="shared" si="0"/>
        <v>14.232800000000001</v>
      </c>
      <c r="I37" s="49">
        <f t="shared" si="0"/>
        <v>14.2422</v>
      </c>
      <c r="J37" s="49">
        <f t="shared" si="0"/>
        <v>14.239000000000001</v>
      </c>
      <c r="K37" s="49">
        <f t="shared" si="0"/>
        <v>14.250200000000001</v>
      </c>
      <c r="L37" s="49">
        <f t="shared" si="0"/>
        <v>14.2346</v>
      </c>
      <c r="M37" s="49">
        <f t="shared" si="0"/>
        <v>14.251799999999999</v>
      </c>
      <c r="N37" s="49">
        <f t="shared" si="0"/>
        <v>14.233000000000001</v>
      </c>
      <c r="O37" s="49">
        <f t="shared" si="0"/>
        <v>14.225200000000001</v>
      </c>
      <c r="P37" s="49">
        <f t="shared" si="0"/>
        <v>14.234399999999999</v>
      </c>
      <c r="Q37" s="49">
        <f t="shared" si="0"/>
        <v>14.237399999999999</v>
      </c>
      <c r="R37" s="49">
        <f t="shared" si="0"/>
        <v>14.234999999999999</v>
      </c>
      <c r="S37" s="49">
        <f t="shared" si="0"/>
        <v>14.234999999999999</v>
      </c>
      <c r="T37" s="49">
        <f t="shared" si="0"/>
        <v>14.248399999999998</v>
      </c>
      <c r="U37" s="49">
        <f t="shared" si="0"/>
        <v>14.236799999999999</v>
      </c>
      <c r="V37" s="49">
        <f t="shared" si="0"/>
        <v>14.238399999999999</v>
      </c>
      <c r="W37" s="49">
        <f t="shared" si="0"/>
        <v>14.239799999999999</v>
      </c>
      <c r="X37" s="49">
        <f t="shared" si="0"/>
        <v>14.2376</v>
      </c>
      <c r="Y37" s="49">
        <f t="shared" si="0"/>
        <v>14.226400000000002</v>
      </c>
      <c r="Z37" s="49">
        <f t="shared" si="0"/>
        <v>14.242799999999999</v>
      </c>
      <c r="AA37" s="49">
        <f t="shared" si="0"/>
        <v>14.2272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</row>
    <row r="38" spans="1:47" s="1" customFormat="1" ht="21.95" customHeight="1" thickBot="1" x14ac:dyDescent="0.45">
      <c r="A38" s="123" t="s">
        <v>60</v>
      </c>
      <c r="B38" s="124"/>
      <c r="C38" s="16">
        <f t="shared" ref="C38:AA38" si="1">MAX(C32:C36)-MIN(C32:C36)</f>
        <v>1.5000000000000568E-2</v>
      </c>
      <c r="D38" s="16">
        <f t="shared" si="1"/>
        <v>3.3000000000001251E-2</v>
      </c>
      <c r="E38" s="16">
        <f t="shared" si="1"/>
        <v>3.399999999999892E-2</v>
      </c>
      <c r="F38" s="16">
        <f t="shared" si="1"/>
        <v>2.5999999999999801E-2</v>
      </c>
      <c r="G38" s="16">
        <f t="shared" si="1"/>
        <v>2.5999999999999801E-2</v>
      </c>
      <c r="H38" s="16">
        <f t="shared" si="1"/>
        <v>2.7000000000001023E-2</v>
      </c>
      <c r="I38" s="16">
        <f t="shared" si="1"/>
        <v>3.2000000000000028E-2</v>
      </c>
      <c r="J38" s="16">
        <f t="shared" si="1"/>
        <v>1.0999999999999233E-2</v>
      </c>
      <c r="K38" s="16">
        <f t="shared" si="1"/>
        <v>1.9000000000000128E-2</v>
      </c>
      <c r="L38" s="16">
        <f t="shared" si="1"/>
        <v>4.1000000000000369E-2</v>
      </c>
      <c r="M38" s="16">
        <f t="shared" si="1"/>
        <v>4.8000000000000043E-2</v>
      </c>
      <c r="N38" s="16">
        <f t="shared" si="1"/>
        <v>5.0000000000000711E-2</v>
      </c>
      <c r="O38" s="16">
        <f t="shared" si="1"/>
        <v>2.8999999999999915E-2</v>
      </c>
      <c r="P38" s="16">
        <f t="shared" si="1"/>
        <v>5.0000000000000711E-2</v>
      </c>
      <c r="Q38" s="16">
        <f t="shared" si="1"/>
        <v>4.3000000000001037E-2</v>
      </c>
      <c r="R38" s="16">
        <f t="shared" si="1"/>
        <v>3.8000000000000256E-2</v>
      </c>
      <c r="S38" s="16">
        <f t="shared" si="1"/>
        <v>3.5999999999999588E-2</v>
      </c>
      <c r="T38" s="16">
        <f t="shared" si="1"/>
        <v>3.4000000000000696E-2</v>
      </c>
      <c r="U38" s="16">
        <f t="shared" si="1"/>
        <v>2.4000000000000909E-2</v>
      </c>
      <c r="V38" s="16">
        <f t="shared" si="1"/>
        <v>2.6999999999999247E-2</v>
      </c>
      <c r="W38" s="16">
        <f t="shared" si="1"/>
        <v>3.5000000000000142E-2</v>
      </c>
      <c r="X38" s="16">
        <f t="shared" si="1"/>
        <v>3.2999999999999474E-2</v>
      </c>
      <c r="Y38" s="16">
        <f t="shared" si="1"/>
        <v>3.5999999999999588E-2</v>
      </c>
      <c r="Z38" s="16">
        <f t="shared" si="1"/>
        <v>2.7000000000001023E-2</v>
      </c>
      <c r="AA38" s="47">
        <f t="shared" si="1"/>
        <v>5.1000000000000156E-2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</row>
    <row r="39" spans="1:47" s="1" customFormat="1" ht="10.5" customHeight="1" thickBot="1" x14ac:dyDescent="0.45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7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</row>
    <row r="40" spans="1:47" s="1" customFormat="1" ht="10.5" customHeight="1" x14ac:dyDescent="0.4">
      <c r="A40" s="128" t="s">
        <v>77</v>
      </c>
      <c r="B40" s="129"/>
      <c r="C40" s="41">
        <f>(Q2+Q3)/2</f>
        <v>0</v>
      </c>
      <c r="D40" s="41">
        <f t="shared" ref="D40:S49" si="2">C40</f>
        <v>0</v>
      </c>
      <c r="E40" s="41">
        <f t="shared" si="2"/>
        <v>0</v>
      </c>
      <c r="F40" s="41">
        <f t="shared" si="2"/>
        <v>0</v>
      </c>
      <c r="G40" s="41">
        <f t="shared" si="2"/>
        <v>0</v>
      </c>
      <c r="H40" s="41">
        <f t="shared" si="2"/>
        <v>0</v>
      </c>
      <c r="I40" s="41">
        <f t="shared" si="2"/>
        <v>0</v>
      </c>
      <c r="J40" s="41">
        <f t="shared" si="2"/>
        <v>0</v>
      </c>
      <c r="K40" s="41">
        <f t="shared" si="2"/>
        <v>0</v>
      </c>
      <c r="L40" s="41">
        <f t="shared" si="2"/>
        <v>0</v>
      </c>
      <c r="M40" s="41">
        <f t="shared" si="2"/>
        <v>0</v>
      </c>
      <c r="N40" s="41">
        <f t="shared" si="2"/>
        <v>0</v>
      </c>
      <c r="O40" s="41">
        <f t="shared" si="2"/>
        <v>0</v>
      </c>
      <c r="P40" s="41">
        <f t="shared" si="2"/>
        <v>0</v>
      </c>
      <c r="Q40" s="41">
        <f t="shared" si="2"/>
        <v>0</v>
      </c>
      <c r="R40" s="41">
        <f t="shared" si="2"/>
        <v>0</v>
      </c>
      <c r="S40" s="41">
        <f t="shared" si="2"/>
        <v>0</v>
      </c>
      <c r="T40" s="41">
        <f t="shared" ref="T40:AA49" si="3">S40</f>
        <v>0</v>
      </c>
      <c r="U40" s="41">
        <f t="shared" si="3"/>
        <v>0</v>
      </c>
      <c r="V40" s="41">
        <f t="shared" si="3"/>
        <v>0</v>
      </c>
      <c r="W40" s="41">
        <f t="shared" si="3"/>
        <v>0</v>
      </c>
      <c r="X40" s="41">
        <f t="shared" si="3"/>
        <v>0</v>
      </c>
      <c r="Y40" s="41">
        <f t="shared" si="3"/>
        <v>0</v>
      </c>
      <c r="Z40" s="41">
        <f t="shared" si="3"/>
        <v>0</v>
      </c>
      <c r="AA40" s="45">
        <f t="shared" si="3"/>
        <v>0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</row>
    <row r="41" spans="1:47" s="1" customFormat="1" ht="10.5" customHeight="1" x14ac:dyDescent="0.4">
      <c r="A41" s="117" t="s">
        <v>78</v>
      </c>
      <c r="B41" s="118"/>
      <c r="C41" s="41">
        <f>N4</f>
        <v>1.4187446259673336E-2</v>
      </c>
      <c r="D41" s="41">
        <f t="shared" si="2"/>
        <v>1.4187446259673336E-2</v>
      </c>
      <c r="E41" s="41">
        <f t="shared" si="2"/>
        <v>1.4187446259673336E-2</v>
      </c>
      <c r="F41" s="41">
        <f t="shared" si="2"/>
        <v>1.4187446259673336E-2</v>
      </c>
      <c r="G41" s="41">
        <f t="shared" si="2"/>
        <v>1.4187446259673336E-2</v>
      </c>
      <c r="H41" s="41">
        <f t="shared" si="2"/>
        <v>1.4187446259673336E-2</v>
      </c>
      <c r="I41" s="41">
        <f t="shared" si="2"/>
        <v>1.4187446259673336E-2</v>
      </c>
      <c r="J41" s="41">
        <f t="shared" si="2"/>
        <v>1.4187446259673336E-2</v>
      </c>
      <c r="K41" s="41">
        <f t="shared" si="2"/>
        <v>1.4187446259673336E-2</v>
      </c>
      <c r="L41" s="41">
        <f t="shared" si="2"/>
        <v>1.4187446259673336E-2</v>
      </c>
      <c r="M41" s="41">
        <f t="shared" si="2"/>
        <v>1.4187446259673336E-2</v>
      </c>
      <c r="N41" s="41">
        <f t="shared" si="2"/>
        <v>1.4187446259673336E-2</v>
      </c>
      <c r="O41" s="41">
        <f t="shared" si="2"/>
        <v>1.4187446259673336E-2</v>
      </c>
      <c r="P41" s="41">
        <f t="shared" si="2"/>
        <v>1.4187446259673336E-2</v>
      </c>
      <c r="Q41" s="41">
        <f t="shared" si="2"/>
        <v>1.4187446259673336E-2</v>
      </c>
      <c r="R41" s="41">
        <f t="shared" si="2"/>
        <v>1.4187446259673336E-2</v>
      </c>
      <c r="S41" s="41">
        <f t="shared" si="2"/>
        <v>1.4187446259673336E-2</v>
      </c>
      <c r="T41" s="41">
        <f t="shared" si="3"/>
        <v>1.4187446259673336E-2</v>
      </c>
      <c r="U41" s="41">
        <f t="shared" si="3"/>
        <v>1.4187446259673336E-2</v>
      </c>
      <c r="V41" s="41">
        <f t="shared" si="3"/>
        <v>1.4187446259673336E-2</v>
      </c>
      <c r="W41" s="41">
        <f t="shared" si="3"/>
        <v>1.4187446259673336E-2</v>
      </c>
      <c r="X41" s="41">
        <f t="shared" si="3"/>
        <v>1.4187446259673336E-2</v>
      </c>
      <c r="Y41" s="41">
        <f t="shared" si="3"/>
        <v>1.4187446259673336E-2</v>
      </c>
      <c r="Z41" s="41">
        <f t="shared" si="3"/>
        <v>1.4187446259673336E-2</v>
      </c>
      <c r="AA41" s="45">
        <f t="shared" si="3"/>
        <v>1.4187446259673336E-2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</row>
    <row r="42" spans="1:47" s="1" customFormat="1" ht="10.5" customHeight="1" x14ac:dyDescent="0.4">
      <c r="A42" s="117" t="s">
        <v>79</v>
      </c>
      <c r="B42" s="118"/>
      <c r="C42" s="41">
        <f>P4</f>
        <v>2.8374892519346672E-2</v>
      </c>
      <c r="D42" s="41">
        <f t="shared" si="2"/>
        <v>2.8374892519346672E-2</v>
      </c>
      <c r="E42" s="41">
        <f t="shared" si="2"/>
        <v>2.8374892519346672E-2</v>
      </c>
      <c r="F42" s="41">
        <f t="shared" si="2"/>
        <v>2.8374892519346672E-2</v>
      </c>
      <c r="G42" s="41">
        <f t="shared" si="2"/>
        <v>2.8374892519346672E-2</v>
      </c>
      <c r="H42" s="41">
        <f t="shared" si="2"/>
        <v>2.8374892519346672E-2</v>
      </c>
      <c r="I42" s="41">
        <f t="shared" si="2"/>
        <v>2.8374892519346672E-2</v>
      </c>
      <c r="J42" s="41">
        <f t="shared" si="2"/>
        <v>2.8374892519346672E-2</v>
      </c>
      <c r="K42" s="41">
        <f t="shared" si="2"/>
        <v>2.8374892519346672E-2</v>
      </c>
      <c r="L42" s="41">
        <f t="shared" si="2"/>
        <v>2.8374892519346672E-2</v>
      </c>
      <c r="M42" s="41">
        <f t="shared" si="2"/>
        <v>2.8374892519346672E-2</v>
      </c>
      <c r="N42" s="41">
        <f t="shared" si="2"/>
        <v>2.8374892519346672E-2</v>
      </c>
      <c r="O42" s="41">
        <f t="shared" si="2"/>
        <v>2.8374892519346672E-2</v>
      </c>
      <c r="P42" s="41">
        <f t="shared" si="2"/>
        <v>2.8374892519346672E-2</v>
      </c>
      <c r="Q42" s="41">
        <f t="shared" si="2"/>
        <v>2.8374892519346672E-2</v>
      </c>
      <c r="R42" s="41">
        <f t="shared" si="2"/>
        <v>2.8374892519346672E-2</v>
      </c>
      <c r="S42" s="41">
        <f t="shared" si="2"/>
        <v>2.8374892519346672E-2</v>
      </c>
      <c r="T42" s="41">
        <f t="shared" si="3"/>
        <v>2.8374892519346672E-2</v>
      </c>
      <c r="U42" s="41">
        <f t="shared" si="3"/>
        <v>2.8374892519346672E-2</v>
      </c>
      <c r="V42" s="41">
        <f t="shared" si="3"/>
        <v>2.8374892519346672E-2</v>
      </c>
      <c r="W42" s="41">
        <f t="shared" si="3"/>
        <v>2.8374892519346672E-2</v>
      </c>
      <c r="X42" s="41">
        <f t="shared" si="3"/>
        <v>2.8374892519346672E-2</v>
      </c>
      <c r="Y42" s="41">
        <f t="shared" si="3"/>
        <v>2.8374892519346672E-2</v>
      </c>
      <c r="Z42" s="41">
        <f t="shared" si="3"/>
        <v>2.8374892519346672E-2</v>
      </c>
      <c r="AA42" s="45">
        <f t="shared" si="3"/>
        <v>2.8374892519346672E-2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</row>
    <row r="43" spans="1:47" s="1" customFormat="1" ht="10.5" customHeight="1" x14ac:dyDescent="0.4">
      <c r="A43" s="117" t="s">
        <v>61</v>
      </c>
      <c r="B43" s="118"/>
      <c r="C43" s="41">
        <f>J4</f>
        <v>4.2562338779020006E-2</v>
      </c>
      <c r="D43" s="41">
        <f t="shared" si="2"/>
        <v>4.2562338779020006E-2</v>
      </c>
      <c r="E43" s="41">
        <f t="shared" si="2"/>
        <v>4.2562338779020006E-2</v>
      </c>
      <c r="F43" s="41">
        <f t="shared" si="2"/>
        <v>4.2562338779020006E-2</v>
      </c>
      <c r="G43" s="41">
        <f t="shared" si="2"/>
        <v>4.2562338779020006E-2</v>
      </c>
      <c r="H43" s="41">
        <f t="shared" si="2"/>
        <v>4.2562338779020006E-2</v>
      </c>
      <c r="I43" s="41">
        <f t="shared" si="2"/>
        <v>4.2562338779020006E-2</v>
      </c>
      <c r="J43" s="41">
        <f t="shared" si="2"/>
        <v>4.2562338779020006E-2</v>
      </c>
      <c r="K43" s="41">
        <f t="shared" si="2"/>
        <v>4.2562338779020006E-2</v>
      </c>
      <c r="L43" s="41">
        <f t="shared" si="2"/>
        <v>4.2562338779020006E-2</v>
      </c>
      <c r="M43" s="41">
        <f t="shared" si="2"/>
        <v>4.2562338779020006E-2</v>
      </c>
      <c r="N43" s="41">
        <f t="shared" si="2"/>
        <v>4.2562338779020006E-2</v>
      </c>
      <c r="O43" s="41">
        <f t="shared" si="2"/>
        <v>4.2562338779020006E-2</v>
      </c>
      <c r="P43" s="41">
        <f t="shared" si="2"/>
        <v>4.2562338779020006E-2</v>
      </c>
      <c r="Q43" s="41">
        <f t="shared" si="2"/>
        <v>4.2562338779020006E-2</v>
      </c>
      <c r="R43" s="41">
        <f t="shared" si="2"/>
        <v>4.2562338779020006E-2</v>
      </c>
      <c r="S43" s="41">
        <f t="shared" si="2"/>
        <v>4.2562338779020006E-2</v>
      </c>
      <c r="T43" s="41">
        <f t="shared" si="3"/>
        <v>4.2562338779020006E-2</v>
      </c>
      <c r="U43" s="41">
        <f t="shared" si="3"/>
        <v>4.2562338779020006E-2</v>
      </c>
      <c r="V43" s="41">
        <f t="shared" si="3"/>
        <v>4.2562338779020006E-2</v>
      </c>
      <c r="W43" s="41">
        <f t="shared" si="3"/>
        <v>4.2562338779020006E-2</v>
      </c>
      <c r="X43" s="41">
        <f t="shared" si="3"/>
        <v>4.2562338779020006E-2</v>
      </c>
      <c r="Y43" s="41">
        <f t="shared" si="3"/>
        <v>4.2562338779020006E-2</v>
      </c>
      <c r="Z43" s="41">
        <f t="shared" si="3"/>
        <v>4.2562338779020006E-2</v>
      </c>
      <c r="AA43" s="45">
        <f t="shared" si="3"/>
        <v>4.2562338779020006E-2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</row>
    <row r="44" spans="1:47" s="1" customFormat="1" ht="10.5" customHeight="1" x14ac:dyDescent="0.4">
      <c r="A44" s="117" t="s">
        <v>80</v>
      </c>
      <c r="B44" s="118"/>
      <c r="C44" s="41">
        <f>R4</f>
        <v>-1.4187446259673336E-2</v>
      </c>
      <c r="D44" s="41">
        <f t="shared" si="2"/>
        <v>-1.4187446259673336E-2</v>
      </c>
      <c r="E44" s="41">
        <f t="shared" si="2"/>
        <v>-1.4187446259673336E-2</v>
      </c>
      <c r="F44" s="41">
        <f t="shared" si="2"/>
        <v>-1.4187446259673336E-2</v>
      </c>
      <c r="G44" s="41">
        <f t="shared" si="2"/>
        <v>-1.4187446259673336E-2</v>
      </c>
      <c r="H44" s="41">
        <f t="shared" si="2"/>
        <v>-1.4187446259673336E-2</v>
      </c>
      <c r="I44" s="41">
        <f t="shared" si="2"/>
        <v>-1.4187446259673336E-2</v>
      </c>
      <c r="J44" s="41">
        <f t="shared" si="2"/>
        <v>-1.4187446259673336E-2</v>
      </c>
      <c r="K44" s="41">
        <f t="shared" si="2"/>
        <v>-1.4187446259673336E-2</v>
      </c>
      <c r="L44" s="41">
        <f t="shared" si="2"/>
        <v>-1.4187446259673336E-2</v>
      </c>
      <c r="M44" s="41">
        <f t="shared" si="2"/>
        <v>-1.4187446259673336E-2</v>
      </c>
      <c r="N44" s="41">
        <f t="shared" si="2"/>
        <v>-1.4187446259673336E-2</v>
      </c>
      <c r="O44" s="41">
        <f t="shared" si="2"/>
        <v>-1.4187446259673336E-2</v>
      </c>
      <c r="P44" s="41">
        <f t="shared" si="2"/>
        <v>-1.4187446259673336E-2</v>
      </c>
      <c r="Q44" s="41">
        <f t="shared" si="2"/>
        <v>-1.4187446259673336E-2</v>
      </c>
      <c r="R44" s="41">
        <f t="shared" si="2"/>
        <v>-1.4187446259673336E-2</v>
      </c>
      <c r="S44" s="41">
        <f t="shared" si="2"/>
        <v>-1.4187446259673336E-2</v>
      </c>
      <c r="T44" s="41">
        <f t="shared" si="3"/>
        <v>-1.4187446259673336E-2</v>
      </c>
      <c r="U44" s="41">
        <f t="shared" si="3"/>
        <v>-1.4187446259673336E-2</v>
      </c>
      <c r="V44" s="41">
        <f t="shared" si="3"/>
        <v>-1.4187446259673336E-2</v>
      </c>
      <c r="W44" s="41">
        <f t="shared" si="3"/>
        <v>-1.4187446259673336E-2</v>
      </c>
      <c r="X44" s="41">
        <f t="shared" si="3"/>
        <v>-1.4187446259673336E-2</v>
      </c>
      <c r="Y44" s="41">
        <f t="shared" si="3"/>
        <v>-1.4187446259673336E-2</v>
      </c>
      <c r="Z44" s="41">
        <f t="shared" si="3"/>
        <v>-1.4187446259673336E-2</v>
      </c>
      <c r="AA44" s="45">
        <f t="shared" si="3"/>
        <v>-1.4187446259673336E-2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</row>
    <row r="45" spans="1:47" s="1" customFormat="1" ht="10.5" customHeight="1" x14ac:dyDescent="0.4">
      <c r="A45" s="117" t="s">
        <v>82</v>
      </c>
      <c r="B45" s="118"/>
      <c r="C45" s="41">
        <f>T4</f>
        <v>-2.8374892519346672E-2</v>
      </c>
      <c r="D45" s="41">
        <f t="shared" si="2"/>
        <v>-2.8374892519346672E-2</v>
      </c>
      <c r="E45" s="41">
        <f t="shared" si="2"/>
        <v>-2.8374892519346672E-2</v>
      </c>
      <c r="F45" s="41">
        <f t="shared" si="2"/>
        <v>-2.8374892519346672E-2</v>
      </c>
      <c r="G45" s="41">
        <f t="shared" si="2"/>
        <v>-2.8374892519346672E-2</v>
      </c>
      <c r="H45" s="41">
        <f t="shared" si="2"/>
        <v>-2.8374892519346672E-2</v>
      </c>
      <c r="I45" s="41">
        <f t="shared" si="2"/>
        <v>-2.8374892519346672E-2</v>
      </c>
      <c r="J45" s="41">
        <f t="shared" si="2"/>
        <v>-2.8374892519346672E-2</v>
      </c>
      <c r="K45" s="41">
        <f t="shared" si="2"/>
        <v>-2.8374892519346672E-2</v>
      </c>
      <c r="L45" s="41">
        <f t="shared" si="2"/>
        <v>-2.8374892519346672E-2</v>
      </c>
      <c r="M45" s="41">
        <f t="shared" si="2"/>
        <v>-2.8374892519346672E-2</v>
      </c>
      <c r="N45" s="41">
        <f t="shared" si="2"/>
        <v>-2.8374892519346672E-2</v>
      </c>
      <c r="O45" s="41">
        <f t="shared" si="2"/>
        <v>-2.8374892519346672E-2</v>
      </c>
      <c r="P45" s="41">
        <f t="shared" si="2"/>
        <v>-2.8374892519346672E-2</v>
      </c>
      <c r="Q45" s="41">
        <f t="shared" si="2"/>
        <v>-2.8374892519346672E-2</v>
      </c>
      <c r="R45" s="41">
        <f t="shared" si="2"/>
        <v>-2.8374892519346672E-2</v>
      </c>
      <c r="S45" s="41">
        <f t="shared" si="2"/>
        <v>-2.8374892519346672E-2</v>
      </c>
      <c r="T45" s="41">
        <f t="shared" si="3"/>
        <v>-2.8374892519346672E-2</v>
      </c>
      <c r="U45" s="41">
        <f t="shared" si="3"/>
        <v>-2.8374892519346672E-2</v>
      </c>
      <c r="V45" s="41">
        <f t="shared" si="3"/>
        <v>-2.8374892519346672E-2</v>
      </c>
      <c r="W45" s="41">
        <f t="shared" si="3"/>
        <v>-2.8374892519346672E-2</v>
      </c>
      <c r="X45" s="41">
        <f t="shared" si="3"/>
        <v>-2.8374892519346672E-2</v>
      </c>
      <c r="Y45" s="41">
        <f t="shared" si="3"/>
        <v>-2.8374892519346672E-2</v>
      </c>
      <c r="Z45" s="41">
        <f t="shared" si="3"/>
        <v>-2.8374892519346672E-2</v>
      </c>
      <c r="AA45" s="45">
        <f t="shared" si="3"/>
        <v>-2.8374892519346672E-2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</row>
    <row r="46" spans="1:47" s="1" customFormat="1" ht="10.5" customHeight="1" x14ac:dyDescent="0.4">
      <c r="A46" s="117" t="s">
        <v>81</v>
      </c>
      <c r="B46" s="118"/>
      <c r="C46" s="41">
        <f>L4</f>
        <v>-4.2562338779020006E-2</v>
      </c>
      <c r="D46" s="41">
        <f t="shared" si="2"/>
        <v>-4.2562338779020006E-2</v>
      </c>
      <c r="E46" s="41">
        <f t="shared" si="2"/>
        <v>-4.2562338779020006E-2</v>
      </c>
      <c r="F46" s="41">
        <f t="shared" si="2"/>
        <v>-4.2562338779020006E-2</v>
      </c>
      <c r="G46" s="41">
        <f t="shared" si="2"/>
        <v>-4.2562338779020006E-2</v>
      </c>
      <c r="H46" s="41">
        <f t="shared" si="2"/>
        <v>-4.2562338779020006E-2</v>
      </c>
      <c r="I46" s="41">
        <f t="shared" si="2"/>
        <v>-4.2562338779020006E-2</v>
      </c>
      <c r="J46" s="41">
        <f t="shared" si="2"/>
        <v>-4.2562338779020006E-2</v>
      </c>
      <c r="K46" s="41">
        <f t="shared" si="2"/>
        <v>-4.2562338779020006E-2</v>
      </c>
      <c r="L46" s="41">
        <f t="shared" si="2"/>
        <v>-4.2562338779020006E-2</v>
      </c>
      <c r="M46" s="41">
        <f t="shared" si="2"/>
        <v>-4.2562338779020006E-2</v>
      </c>
      <c r="N46" s="41">
        <f t="shared" si="2"/>
        <v>-4.2562338779020006E-2</v>
      </c>
      <c r="O46" s="41">
        <f t="shared" si="2"/>
        <v>-4.2562338779020006E-2</v>
      </c>
      <c r="P46" s="41">
        <f t="shared" si="2"/>
        <v>-4.2562338779020006E-2</v>
      </c>
      <c r="Q46" s="41">
        <f t="shared" si="2"/>
        <v>-4.2562338779020006E-2</v>
      </c>
      <c r="R46" s="41">
        <f t="shared" si="2"/>
        <v>-4.2562338779020006E-2</v>
      </c>
      <c r="S46" s="41">
        <f t="shared" si="2"/>
        <v>-4.2562338779020006E-2</v>
      </c>
      <c r="T46" s="41">
        <f t="shared" si="3"/>
        <v>-4.2562338779020006E-2</v>
      </c>
      <c r="U46" s="41">
        <f t="shared" si="3"/>
        <v>-4.2562338779020006E-2</v>
      </c>
      <c r="V46" s="41">
        <f t="shared" si="3"/>
        <v>-4.2562338779020006E-2</v>
      </c>
      <c r="W46" s="41">
        <f t="shared" si="3"/>
        <v>-4.2562338779020006E-2</v>
      </c>
      <c r="X46" s="41">
        <f t="shared" si="3"/>
        <v>-4.2562338779020006E-2</v>
      </c>
      <c r="Y46" s="41">
        <f t="shared" si="3"/>
        <v>-4.2562338779020006E-2</v>
      </c>
      <c r="Z46" s="41">
        <f t="shared" si="3"/>
        <v>-4.2562338779020006E-2</v>
      </c>
      <c r="AA46" s="45">
        <f t="shared" si="3"/>
        <v>-4.2562338779020006E-2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</row>
    <row r="47" spans="1:47" s="1" customFormat="1" ht="10.5" customHeight="1" x14ac:dyDescent="0.4">
      <c r="A47" s="117" t="s">
        <v>62</v>
      </c>
      <c r="B47" s="118"/>
      <c r="C47" s="40">
        <f>E17</f>
        <v>3.3000000000000182E-2</v>
      </c>
      <c r="D47" s="40">
        <f t="shared" si="2"/>
        <v>3.3000000000000182E-2</v>
      </c>
      <c r="E47" s="40">
        <f t="shared" si="2"/>
        <v>3.3000000000000182E-2</v>
      </c>
      <c r="F47" s="40">
        <f t="shared" si="2"/>
        <v>3.3000000000000182E-2</v>
      </c>
      <c r="G47" s="40">
        <f t="shared" si="2"/>
        <v>3.3000000000000182E-2</v>
      </c>
      <c r="H47" s="40">
        <f t="shared" si="2"/>
        <v>3.3000000000000182E-2</v>
      </c>
      <c r="I47" s="40">
        <f t="shared" si="2"/>
        <v>3.3000000000000182E-2</v>
      </c>
      <c r="J47" s="40">
        <f t="shared" si="2"/>
        <v>3.3000000000000182E-2</v>
      </c>
      <c r="K47" s="40">
        <f t="shared" si="2"/>
        <v>3.3000000000000182E-2</v>
      </c>
      <c r="L47" s="40">
        <f t="shared" si="2"/>
        <v>3.3000000000000182E-2</v>
      </c>
      <c r="M47" s="40">
        <f t="shared" si="2"/>
        <v>3.3000000000000182E-2</v>
      </c>
      <c r="N47" s="40">
        <f t="shared" si="2"/>
        <v>3.3000000000000182E-2</v>
      </c>
      <c r="O47" s="40">
        <f t="shared" si="2"/>
        <v>3.3000000000000182E-2</v>
      </c>
      <c r="P47" s="40">
        <f t="shared" si="2"/>
        <v>3.3000000000000182E-2</v>
      </c>
      <c r="Q47" s="40">
        <f t="shared" si="2"/>
        <v>3.3000000000000182E-2</v>
      </c>
      <c r="R47" s="40">
        <f t="shared" si="2"/>
        <v>3.3000000000000182E-2</v>
      </c>
      <c r="S47" s="40">
        <f t="shared" si="2"/>
        <v>3.3000000000000182E-2</v>
      </c>
      <c r="T47" s="40">
        <f t="shared" si="3"/>
        <v>3.3000000000000182E-2</v>
      </c>
      <c r="U47" s="40">
        <f t="shared" si="3"/>
        <v>3.3000000000000182E-2</v>
      </c>
      <c r="V47" s="40">
        <f t="shared" si="3"/>
        <v>3.3000000000000182E-2</v>
      </c>
      <c r="W47" s="40">
        <f t="shared" si="3"/>
        <v>3.3000000000000182E-2</v>
      </c>
      <c r="X47" s="17">
        <f t="shared" si="3"/>
        <v>3.3000000000000182E-2</v>
      </c>
      <c r="Y47" s="17">
        <f t="shared" si="3"/>
        <v>3.3000000000000182E-2</v>
      </c>
      <c r="Z47" s="17">
        <f t="shared" si="3"/>
        <v>3.3000000000000182E-2</v>
      </c>
      <c r="AA47" s="46">
        <f t="shared" si="3"/>
        <v>3.3000000000000182E-2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</row>
    <row r="48" spans="1:47" s="1" customFormat="1" ht="10.5" customHeight="1" x14ac:dyDescent="0.4">
      <c r="A48" s="117" t="s">
        <v>63</v>
      </c>
      <c r="B48" s="118"/>
      <c r="C48" s="40">
        <f>L17</f>
        <v>6.9630000000000386E-2</v>
      </c>
      <c r="D48" s="40">
        <f t="shared" si="2"/>
        <v>6.9630000000000386E-2</v>
      </c>
      <c r="E48" s="40">
        <f t="shared" si="2"/>
        <v>6.9630000000000386E-2</v>
      </c>
      <c r="F48" s="40">
        <f t="shared" si="2"/>
        <v>6.9630000000000386E-2</v>
      </c>
      <c r="G48" s="40">
        <f t="shared" si="2"/>
        <v>6.9630000000000386E-2</v>
      </c>
      <c r="H48" s="40">
        <f t="shared" si="2"/>
        <v>6.9630000000000386E-2</v>
      </c>
      <c r="I48" s="40">
        <f t="shared" si="2"/>
        <v>6.9630000000000386E-2</v>
      </c>
      <c r="J48" s="40">
        <f t="shared" si="2"/>
        <v>6.9630000000000386E-2</v>
      </c>
      <c r="K48" s="40">
        <f t="shared" si="2"/>
        <v>6.9630000000000386E-2</v>
      </c>
      <c r="L48" s="40">
        <f t="shared" si="2"/>
        <v>6.9630000000000386E-2</v>
      </c>
      <c r="M48" s="40">
        <f t="shared" si="2"/>
        <v>6.9630000000000386E-2</v>
      </c>
      <c r="N48" s="40">
        <f t="shared" si="2"/>
        <v>6.9630000000000386E-2</v>
      </c>
      <c r="O48" s="40">
        <f t="shared" si="2"/>
        <v>6.9630000000000386E-2</v>
      </c>
      <c r="P48" s="40">
        <f t="shared" si="2"/>
        <v>6.9630000000000386E-2</v>
      </c>
      <c r="Q48" s="40">
        <f t="shared" si="2"/>
        <v>6.9630000000000386E-2</v>
      </c>
      <c r="R48" s="40">
        <f t="shared" si="2"/>
        <v>6.9630000000000386E-2</v>
      </c>
      <c r="S48" s="40">
        <f t="shared" si="2"/>
        <v>6.9630000000000386E-2</v>
      </c>
      <c r="T48" s="40">
        <f t="shared" si="3"/>
        <v>6.9630000000000386E-2</v>
      </c>
      <c r="U48" s="40">
        <f t="shared" si="3"/>
        <v>6.9630000000000386E-2</v>
      </c>
      <c r="V48" s="40">
        <f t="shared" si="3"/>
        <v>6.9630000000000386E-2</v>
      </c>
      <c r="W48" s="40">
        <f t="shared" si="3"/>
        <v>6.9630000000000386E-2</v>
      </c>
      <c r="X48" s="17">
        <f t="shared" si="3"/>
        <v>6.9630000000000386E-2</v>
      </c>
      <c r="Y48" s="17">
        <f t="shared" si="3"/>
        <v>6.9630000000000386E-2</v>
      </c>
      <c r="Z48" s="17">
        <f t="shared" si="3"/>
        <v>6.9630000000000386E-2</v>
      </c>
      <c r="AA48" s="46">
        <f t="shared" si="3"/>
        <v>6.9630000000000386E-2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</row>
    <row r="49" spans="1:47" s="1" customFormat="1" ht="10.5" customHeight="1" x14ac:dyDescent="0.4">
      <c r="A49" s="117" t="s">
        <v>64</v>
      </c>
      <c r="B49" s="118"/>
      <c r="C49" s="40">
        <f>U17</f>
        <v>0</v>
      </c>
      <c r="D49" s="40">
        <f t="shared" si="2"/>
        <v>0</v>
      </c>
      <c r="E49" s="40">
        <f t="shared" si="2"/>
        <v>0</v>
      </c>
      <c r="F49" s="40">
        <f t="shared" si="2"/>
        <v>0</v>
      </c>
      <c r="G49" s="40">
        <f t="shared" si="2"/>
        <v>0</v>
      </c>
      <c r="H49" s="40">
        <f t="shared" si="2"/>
        <v>0</v>
      </c>
      <c r="I49" s="40">
        <f t="shared" si="2"/>
        <v>0</v>
      </c>
      <c r="J49" s="40">
        <f t="shared" si="2"/>
        <v>0</v>
      </c>
      <c r="K49" s="40">
        <f t="shared" si="2"/>
        <v>0</v>
      </c>
      <c r="L49" s="40">
        <f t="shared" si="2"/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0">
        <f t="shared" si="2"/>
        <v>0</v>
      </c>
      <c r="T49" s="40">
        <f t="shared" si="3"/>
        <v>0</v>
      </c>
      <c r="U49" s="40">
        <f t="shared" si="3"/>
        <v>0</v>
      </c>
      <c r="V49" s="40">
        <f t="shared" si="3"/>
        <v>0</v>
      </c>
      <c r="W49" s="40">
        <f t="shared" si="3"/>
        <v>0</v>
      </c>
      <c r="X49" s="17">
        <f t="shared" si="3"/>
        <v>0</v>
      </c>
      <c r="Y49" s="17">
        <f t="shared" si="3"/>
        <v>0</v>
      </c>
      <c r="Z49" s="17">
        <f t="shared" si="3"/>
        <v>0</v>
      </c>
      <c r="AA49" s="46">
        <f t="shared" si="3"/>
        <v>0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</row>
    <row r="50" spans="1:47" s="1" customFormat="1" ht="17.649999999999999" x14ac:dyDescent="0.4">
      <c r="A50" s="136" t="s">
        <v>65</v>
      </c>
      <c r="B50" s="137"/>
      <c r="C50" s="137"/>
      <c r="D50" s="138"/>
      <c r="E50" s="139" t="str">
        <f>IF(AA29&gt;1.33,"该过程目前能被接受,批准后即可开始生产，并按照控制计划进行。","该结果小于1.33，达不到规定的要求。")</f>
        <v>该过程目前能被接受,批准后即可开始生产，并按照控制计划进行。</v>
      </c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1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</row>
    <row r="51" spans="1:47" s="3" customFormat="1" ht="15.75" customHeight="1" thickBot="1" x14ac:dyDescent="0.45">
      <c r="A51" s="142" t="s">
        <v>66</v>
      </c>
      <c r="B51" s="143"/>
      <c r="C51" s="144" t="s">
        <v>125</v>
      </c>
      <c r="D51" s="145"/>
      <c r="E51" s="145"/>
      <c r="F51" s="145"/>
      <c r="G51" s="145"/>
      <c r="H51" s="132" t="s">
        <v>98</v>
      </c>
      <c r="I51" s="132"/>
      <c r="J51" s="144" t="s">
        <v>126</v>
      </c>
      <c r="K51" s="145"/>
      <c r="L51" s="145"/>
      <c r="M51" s="145"/>
      <c r="N51" s="145"/>
      <c r="O51" s="132" t="s">
        <v>67</v>
      </c>
      <c r="P51" s="132"/>
      <c r="Q51" s="130" t="s">
        <v>127</v>
      </c>
      <c r="R51" s="131"/>
      <c r="S51" s="131"/>
      <c r="T51" s="131"/>
      <c r="U51" s="131"/>
      <c r="V51" s="132" t="s">
        <v>68</v>
      </c>
      <c r="W51" s="132"/>
      <c r="X51" s="133"/>
      <c r="Y51" s="134"/>
      <c r="Z51" s="134"/>
      <c r="AA51" s="135"/>
    </row>
    <row r="54" spans="1:47" ht="10.5" customHeight="1" x14ac:dyDescent="0.35">
      <c r="B54" s="15"/>
    </row>
    <row r="55" spans="1:47" ht="10.5" customHeight="1" x14ac:dyDescent="0.35">
      <c r="B55" s="15"/>
    </row>
    <row r="56" spans="1:47" ht="10.5" customHeight="1" x14ac:dyDescent="0.35">
      <c r="B56" s="15"/>
    </row>
    <row r="57" spans="1:47" ht="10.5" customHeight="1" x14ac:dyDescent="0.35">
      <c r="B57" s="15"/>
    </row>
    <row r="58" spans="1:47" ht="10.5" customHeight="1" x14ac:dyDescent="0.35">
      <c r="B58" s="15"/>
    </row>
    <row r="59" spans="1:47" ht="10.5" customHeight="1" x14ac:dyDescent="0.35">
      <c r="B59" s="15"/>
    </row>
    <row r="60" spans="1:47" ht="10.5" customHeight="1" x14ac:dyDescent="0.35">
      <c r="B60" s="15"/>
    </row>
    <row r="61" spans="1:47" ht="10.5" customHeight="1" x14ac:dyDescent="0.35">
      <c r="B61" s="15"/>
    </row>
    <row r="62" spans="1:47" ht="10.5" customHeight="1" x14ac:dyDescent="0.35">
      <c r="B62" s="15"/>
    </row>
    <row r="63" spans="1:47" ht="10.5" customHeight="1" x14ac:dyDescent="0.35">
      <c r="B63" s="15"/>
    </row>
    <row r="64" spans="1:47" ht="10.5" customHeight="1" x14ac:dyDescent="0.35">
      <c r="B64" s="15"/>
    </row>
    <row r="65" spans="2:2" ht="10.5" customHeight="1" x14ac:dyDescent="0.35">
      <c r="B65" s="15"/>
    </row>
    <row r="66" spans="2:2" ht="10.5" customHeight="1" x14ac:dyDescent="0.35">
      <c r="B66" s="15"/>
    </row>
    <row r="67" spans="2:2" ht="10.5" customHeight="1" x14ac:dyDescent="0.35">
      <c r="B67" s="15"/>
    </row>
    <row r="68" spans="2:2" ht="10.5" customHeight="1" x14ac:dyDescent="0.35">
      <c r="B68" s="15"/>
    </row>
    <row r="69" spans="2:2" ht="10.5" customHeight="1" x14ac:dyDescent="0.35">
      <c r="B69" s="15"/>
    </row>
    <row r="70" spans="2:2" ht="10.5" customHeight="1" x14ac:dyDescent="0.35">
      <c r="B70" s="15"/>
    </row>
    <row r="71" spans="2:2" ht="10.5" customHeight="1" x14ac:dyDescent="0.35">
      <c r="B71" s="15"/>
    </row>
    <row r="72" spans="2:2" ht="10.5" customHeight="1" x14ac:dyDescent="0.35">
      <c r="B72" s="15"/>
    </row>
    <row r="73" spans="2:2" ht="10.5" customHeight="1" x14ac:dyDescent="0.35">
      <c r="B73" s="15"/>
    </row>
    <row r="74" spans="2:2" ht="10.5" customHeight="1" x14ac:dyDescent="0.35">
      <c r="B74" s="15"/>
    </row>
    <row r="75" spans="2:2" ht="10.5" customHeight="1" x14ac:dyDescent="0.35">
      <c r="B75" s="15"/>
    </row>
    <row r="76" spans="2:2" ht="10.5" customHeight="1" x14ac:dyDescent="0.35">
      <c r="B76" s="15"/>
    </row>
    <row r="77" spans="2:2" ht="10.5" customHeight="1" x14ac:dyDescent="0.35">
      <c r="B77" s="15"/>
    </row>
    <row r="78" spans="2:2" ht="10.5" customHeight="1" x14ac:dyDescent="0.35">
      <c r="B78" s="15"/>
    </row>
  </sheetData>
  <protectedRanges>
    <protectedRange sqref="I3:J3 Y2:AA3 X51 C51 J51 Q51 C30:AA30" name="区域1"/>
    <protectedRange sqref="D2:F3" name="区域1_1_2"/>
    <protectedRange sqref="I2:J2" name="区域1_3_2"/>
    <protectedRange sqref="U2:V3" name="区域1_6_3"/>
    <protectedRange sqref="M3:N3" name="区域1_1"/>
    <protectedRange sqref="M2:N2" name="区域1_5"/>
    <protectedRange sqref="Q2:R3" name="区域1_4"/>
    <protectedRange sqref="C36:AA36 C32:AC35" name="区域1_2"/>
    <protectedRange sqref="C31:AA31" name="区域1_2_1_1_1"/>
  </protectedRanges>
  <mergeCells count="76">
    <mergeCell ref="Q51:U51"/>
    <mergeCell ref="V51:W51"/>
    <mergeCell ref="X51:AA51"/>
    <mergeCell ref="A47:B47"/>
    <mergeCell ref="A48:B48"/>
    <mergeCell ref="A49:B49"/>
    <mergeCell ref="A50:D50"/>
    <mergeCell ref="E50:AA50"/>
    <mergeCell ref="A51:B51"/>
    <mergeCell ref="C51:G51"/>
    <mergeCell ref="H51:I51"/>
    <mergeCell ref="J51:N51"/>
    <mergeCell ref="O51:P51"/>
    <mergeCell ref="A46:B46"/>
    <mergeCell ref="A31:B31"/>
    <mergeCell ref="A32:A36"/>
    <mergeCell ref="A37:B37"/>
    <mergeCell ref="A38:B38"/>
    <mergeCell ref="A39:AA39"/>
    <mergeCell ref="A40:B40"/>
    <mergeCell ref="A41:B41"/>
    <mergeCell ref="A42:B42"/>
    <mergeCell ref="A43:B43"/>
    <mergeCell ref="A44:B44"/>
    <mergeCell ref="A45:B45"/>
    <mergeCell ref="A18:A29"/>
    <mergeCell ref="W25:AA25"/>
    <mergeCell ref="W26:AA26"/>
    <mergeCell ref="W27:X28"/>
    <mergeCell ref="AA27:AA28"/>
    <mergeCell ref="A30:B30"/>
    <mergeCell ref="W14:AA14"/>
    <mergeCell ref="B17:D17"/>
    <mergeCell ref="E17:F17"/>
    <mergeCell ref="I17:K17"/>
    <mergeCell ref="L17:M17"/>
    <mergeCell ref="P17:Q17"/>
    <mergeCell ref="R17:T17"/>
    <mergeCell ref="U17:V17"/>
    <mergeCell ref="A5:A16"/>
    <mergeCell ref="W5:AA5"/>
    <mergeCell ref="W6:AA6"/>
    <mergeCell ref="W7:AA7"/>
    <mergeCell ref="W8:AA8"/>
    <mergeCell ref="W9:AA9"/>
    <mergeCell ref="W10:AA10"/>
    <mergeCell ref="W11:AA11"/>
    <mergeCell ref="W12:AA12"/>
    <mergeCell ref="W13:AA13"/>
    <mergeCell ref="Q3:R3"/>
    <mergeCell ref="S3:T3"/>
    <mergeCell ref="U3:V3"/>
    <mergeCell ref="W3:X3"/>
    <mergeCell ref="Y3:AA3"/>
    <mergeCell ref="E4:F4"/>
    <mergeCell ref="W4:AA4"/>
    <mergeCell ref="U2:V2"/>
    <mergeCell ref="W2:X2"/>
    <mergeCell ref="Y2:AA2"/>
    <mergeCell ref="M3:N3"/>
    <mergeCell ref="O3:P3"/>
    <mergeCell ref="A3:C3"/>
    <mergeCell ref="D3:F3"/>
    <mergeCell ref="G3:H3"/>
    <mergeCell ref="I3:J3"/>
    <mergeCell ref="K3:L3"/>
    <mergeCell ref="A1:AA1"/>
    <mergeCell ref="A2:C2"/>
    <mergeCell ref="D2:F2"/>
    <mergeCell ref="G2:H2"/>
    <mergeCell ref="I2:J2"/>
    <mergeCell ref="K2:L2"/>
    <mergeCell ref="M2:N2"/>
    <mergeCell ref="O2:P2"/>
    <mergeCell ref="Q2:R2"/>
    <mergeCell ref="S2:T2"/>
  </mergeCells>
  <phoneticPr fontId="36" type="noConversion"/>
  <pageMargins left="0" right="0" top="0.39370078740157483" bottom="0.31496062992125984" header="0.31496062992125984" footer="0.31496062992125984"/>
  <pageSetup paperSize="9" scale="74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1" master="">
    <arrUserId title="区域1" rangeCreator="" othersAccessPermission="edit"/>
    <arrUserId title="区域1_1" rangeCreator="" othersAccessPermission="edit"/>
    <arrUserId title="区域1_3" rangeCreator="" othersAccessPermission="edit"/>
    <arrUserId title="区域1_4" rangeCreator="" othersAccessPermission="edit"/>
    <arrUserId title="区域1_2" rangeCreator="" othersAccessPermission="edit"/>
    <arrUserId title="区域1_5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史 镇安</cp:lastModifiedBy>
  <cp:lastPrinted>2022-04-08T06:14:02Z</cp:lastPrinted>
  <dcterms:created xsi:type="dcterms:W3CDTF">2023-02-16T01:34:40Z</dcterms:created>
  <dcterms:modified xsi:type="dcterms:W3CDTF">2026-01-09T06:27:04Z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2052-12.1.0.16910</vt:lpwstr>
  </property>
  <property fmtid="{D5CDD505-2E9C-101B-9397-08002B2CF9AE}" pid="3" name="ICV">
    <vt:lpwstr>BF9DE469ABEC4DFDBCBDC045C13D3F82_12</vt:lpwstr>
  </property>
</Properties>
</file>